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a Ch\OneDrive\Desktop\"/>
    </mc:Choice>
  </mc:AlternateContent>
  <xr:revisionPtr revIDLastSave="139" documentId="8_{6B2471A2-DE49-404C-A1FE-81BB0D1749EB}" xr6:coauthVersionLast="45" xr6:coauthVersionMax="45" xr10:uidLastSave="{4EF5B1F1-2F28-4F46-ABF0-A02F4C988841}"/>
  <bookViews>
    <workbookView xWindow="-110" yWindow="-110" windowWidth="21820" windowHeight="14020" xr2:uid="{0379E2B0-8290-47DB-A694-0208C53BB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I99" i="1" l="1"/>
  <c r="H99" i="1"/>
  <c r="J99" i="1" s="1"/>
  <c r="H94" i="1"/>
  <c r="J94" i="1" s="1"/>
  <c r="I94" i="1"/>
  <c r="J89" i="1"/>
  <c r="H89" i="1"/>
  <c r="I89" i="1"/>
  <c r="I81" i="1"/>
  <c r="H81" i="1"/>
  <c r="J81" i="1" s="1"/>
  <c r="J76" i="1"/>
  <c r="H76" i="1"/>
  <c r="I76" i="1"/>
  <c r="I71" i="1"/>
  <c r="H71" i="1"/>
  <c r="J71" i="1" s="1"/>
  <c r="I62" i="1"/>
  <c r="H62" i="1"/>
  <c r="J62" i="1" s="1"/>
  <c r="I57" i="1"/>
  <c r="H57" i="1"/>
  <c r="J57" i="1" s="1"/>
  <c r="I52" i="1"/>
  <c r="H52" i="1"/>
  <c r="J52" i="1" s="1"/>
  <c r="I47" i="1"/>
  <c r="H47" i="1"/>
  <c r="J47" i="1" s="1"/>
  <c r="I39" i="1"/>
  <c r="H39" i="1"/>
  <c r="J39" i="1" s="1"/>
  <c r="I34" i="1"/>
  <c r="H34" i="1"/>
  <c r="J34" i="1" s="1"/>
  <c r="J29" i="1"/>
  <c r="I29" i="1"/>
  <c r="H29" i="1"/>
  <c r="H24" i="1"/>
  <c r="I24" i="1"/>
</calcChain>
</file>

<file path=xl/sharedStrings.xml><?xml version="1.0" encoding="utf-8"?>
<sst xmlns="http://schemas.openxmlformats.org/spreadsheetml/2006/main" count="73" uniqueCount="25">
  <si>
    <t>Settings: OrgA and OrgB</t>
  </si>
  <si>
    <t>And/Or</t>
  </si>
  <si>
    <t>1 Endorser : Or (A, B, C, D)</t>
  </si>
  <si>
    <t>2 Endorsers: Or (And(A, B), And(A, C), And(A, D), And(B, C), And(B, D), And(C, D))</t>
  </si>
  <si>
    <t>3 Endorsers: Or (And(A, B, C), And(A, B, D), And(B, C, D), And(A, C, D))</t>
  </si>
  <si>
    <t>4 Endorsers: And (A, B, C, D)</t>
  </si>
  <si>
    <t>NOutOf</t>
  </si>
  <si>
    <t>1 Endorser : 1-out-of (A, B, C, D)</t>
  </si>
  <si>
    <t>2 Endorsers: 2-out-of (A, B, C, D)</t>
  </si>
  <si>
    <t>3 Endorsers: 3-out-of (A, B, C, D)</t>
  </si>
  <si>
    <t>4 Endorsers: 4-out-of (A, B, C, D)</t>
  </si>
  <si>
    <t>For 4 Organizations</t>
  </si>
  <si>
    <t>NOutOf:</t>
  </si>
  <si>
    <t>1 Endorsers: 1-out-of (A, B, C, D)</t>
  </si>
  <si>
    <t>mean</t>
  </si>
  <si>
    <t>median</t>
  </si>
  <si>
    <t>Std dev</t>
  </si>
  <si>
    <t>And/ Or</t>
  </si>
  <si>
    <t>For 3 organizations (Times in ms)</t>
  </si>
  <si>
    <t>1 Endorsers: 1-out-of (A, B, C)</t>
  </si>
  <si>
    <t>2 Endorsers: 2-out-of (A, B, C)</t>
  </si>
  <si>
    <t>3 Endorsers: 3-out-of (A, B, C)</t>
  </si>
  <si>
    <t>1 Endorser : Or (A, B, C)</t>
  </si>
  <si>
    <t>2 Endorsers: Or (And(A, B), And(A, C), And(B, C))</t>
  </si>
  <si>
    <t>3 Endorsers: And (A, B,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</si>
</sst>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2" fontId="1" fillId="0" borderId="5" xfId="0" applyNumberFormat="1" applyFont="1" applyBorder="1" applyAlignment="1">
      <alignment vertical="center" wrapText="1"/>
    </xf>
    <xf numFmtId="2" fontId="1" fillId="0" borderId="6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8F7F-39B2-4E62-9468-294E429D315D}">
  <dimension ref="B2:J99"/>
  <sheetViews>
    <sheetView tabSelected="1" topLeftCell="A7" workbookViewId="0">
      <selection activeCell="J25" sqref="J25"/>
    </sheetView>
  </sheetViews>
  <sheetFormatPr defaultRowHeight="14.5" x14ac:dyDescent="0.35"/>
  <cols>
    <col min="8" max="8" width="9" bestFit="1" customWidth="1"/>
    <col min="10" max="10" width="12.26953125" bestFit="1" customWidth="1"/>
  </cols>
  <sheetData>
    <row r="2" spans="2:2" x14ac:dyDescent="0.35">
      <c r="B2" s="2" t="s">
        <v>0</v>
      </c>
    </row>
    <row r="3" spans="2:2" x14ac:dyDescent="0.35">
      <c r="B3" s="1"/>
    </row>
    <row r="4" spans="2:2" x14ac:dyDescent="0.35">
      <c r="B4" s="2" t="s">
        <v>1</v>
      </c>
    </row>
    <row r="5" spans="2:2" x14ac:dyDescent="0.35">
      <c r="B5" s="2" t="s">
        <v>2</v>
      </c>
    </row>
    <row r="6" spans="2:2" x14ac:dyDescent="0.35">
      <c r="B6" s="2" t="s">
        <v>3</v>
      </c>
    </row>
    <row r="7" spans="2:2" x14ac:dyDescent="0.35">
      <c r="B7" s="2" t="s">
        <v>4</v>
      </c>
    </row>
    <row r="8" spans="2:2" x14ac:dyDescent="0.35">
      <c r="B8" s="2" t="s">
        <v>5</v>
      </c>
    </row>
    <row r="9" spans="2:2" x14ac:dyDescent="0.35">
      <c r="B9" s="2"/>
    </row>
    <row r="10" spans="2:2" x14ac:dyDescent="0.35">
      <c r="B10" s="2"/>
    </row>
    <row r="11" spans="2:2" x14ac:dyDescent="0.35">
      <c r="B11" s="2" t="s">
        <v>6</v>
      </c>
    </row>
    <row r="12" spans="2:2" x14ac:dyDescent="0.35">
      <c r="B12" s="2" t="s">
        <v>7</v>
      </c>
    </row>
    <row r="13" spans="2:2" x14ac:dyDescent="0.35">
      <c r="B13" s="2" t="s">
        <v>8</v>
      </c>
    </row>
    <row r="14" spans="2:2" x14ac:dyDescent="0.35">
      <c r="B14" s="2" t="s">
        <v>9</v>
      </c>
    </row>
    <row r="15" spans="2:2" x14ac:dyDescent="0.35">
      <c r="B15" s="2" t="s">
        <v>10</v>
      </c>
    </row>
    <row r="16" spans="2:2" x14ac:dyDescent="0.35">
      <c r="B16" s="2"/>
    </row>
    <row r="17" spans="2:10" x14ac:dyDescent="0.35">
      <c r="B17" s="2"/>
    </row>
    <row r="18" spans="2:10" x14ac:dyDescent="0.35">
      <c r="B18" s="2" t="s">
        <v>11</v>
      </c>
    </row>
    <row r="19" spans="2:10" x14ac:dyDescent="0.35">
      <c r="B19" s="2" t="s">
        <v>12</v>
      </c>
    </row>
    <row r="21" spans="2:10" ht="15" thickBot="1" x14ac:dyDescent="0.4"/>
    <row r="22" spans="2:10" ht="15" thickBot="1" x14ac:dyDescent="0.4">
      <c r="C22" s="8" t="s">
        <v>13</v>
      </c>
      <c r="D22" s="9"/>
      <c r="E22" s="9"/>
      <c r="F22" s="9"/>
      <c r="G22" s="9"/>
      <c r="H22" s="9"/>
      <c r="I22" s="9"/>
      <c r="J22" s="10"/>
    </row>
    <row r="23" spans="2:10" ht="15" thickBot="1" x14ac:dyDescent="0.4">
      <c r="C23" s="3">
        <v>1</v>
      </c>
      <c r="D23" s="4">
        <v>2</v>
      </c>
      <c r="E23" s="4">
        <v>3</v>
      </c>
      <c r="F23" s="4">
        <v>4</v>
      </c>
      <c r="G23" s="4">
        <v>5</v>
      </c>
      <c r="H23" s="4" t="s">
        <v>14</v>
      </c>
      <c r="I23" s="4" t="s">
        <v>15</v>
      </c>
      <c r="J23" s="4" t="s">
        <v>16</v>
      </c>
    </row>
    <row r="24" spans="2:10" ht="15" thickBot="1" x14ac:dyDescent="0.4">
      <c r="C24" s="3">
        <v>31.904</v>
      </c>
      <c r="D24" s="4">
        <v>51.890999999999998</v>
      </c>
      <c r="E24" s="4">
        <v>64.316999999999993</v>
      </c>
      <c r="F24" s="4">
        <v>77.912999999999997</v>
      </c>
      <c r="G24" s="4">
        <v>201.69399999999999</v>
      </c>
      <c r="H24" s="6">
        <f>(C24+D24+E24+F24+G24)/5</f>
        <v>85.54379999999999</v>
      </c>
      <c r="I24" s="4">
        <f>E24</f>
        <v>64.316999999999993</v>
      </c>
      <c r="J24" s="6">
        <f>(((C24-H24)^2 +(D24-H24)^2 + (E24-H24)^2 + (F24-H24)^2 + (G24-H24)^2)/5)^0.5</f>
        <v>60.015688280315501</v>
      </c>
    </row>
    <row r="27" spans="2:10" x14ac:dyDescent="0.35">
      <c r="C27" s="11" t="s">
        <v>8</v>
      </c>
      <c r="D27" s="11"/>
      <c r="E27" s="11"/>
      <c r="F27" s="11"/>
      <c r="G27" s="11"/>
      <c r="H27" s="11"/>
      <c r="I27" s="11"/>
      <c r="J27" s="11"/>
    </row>
    <row r="28" spans="2:10" x14ac:dyDescent="0.35">
      <c r="C28" s="5">
        <v>1</v>
      </c>
      <c r="D28" s="5">
        <v>2</v>
      </c>
      <c r="E28" s="5">
        <v>3</v>
      </c>
      <c r="F28" s="5">
        <v>4</v>
      </c>
      <c r="G28" s="5">
        <v>5</v>
      </c>
      <c r="H28" s="5" t="s">
        <v>14</v>
      </c>
      <c r="I28" s="5" t="s">
        <v>15</v>
      </c>
      <c r="J28" s="5" t="s">
        <v>16</v>
      </c>
    </row>
    <row r="29" spans="2:10" x14ac:dyDescent="0.35">
      <c r="C29" s="5">
        <v>93.25</v>
      </c>
      <c r="D29" s="5">
        <v>117.54300000000001</v>
      </c>
      <c r="E29" s="5">
        <v>122.342</v>
      </c>
      <c r="F29" s="5">
        <v>185.86</v>
      </c>
      <c r="G29" s="5">
        <v>276.04899999999998</v>
      </c>
      <c r="H29" s="7">
        <f>(C29+D29+E29+F29+G29)/5</f>
        <v>159.00880000000001</v>
      </c>
      <c r="I29" s="5">
        <f>E29</f>
        <v>122.342</v>
      </c>
      <c r="J29" s="7">
        <f>(((C29-H29)^2 +(D29-H29)^2 + (E29-H29)^2 + (F29-H29)^2 + (G29-H29)^2)/5)^0.5</f>
        <v>66.041626156235736</v>
      </c>
    </row>
    <row r="31" spans="2:10" ht="15" thickBot="1" x14ac:dyDescent="0.4"/>
    <row r="32" spans="2:10" ht="15" thickBot="1" x14ac:dyDescent="0.4">
      <c r="C32" s="8" t="s">
        <v>9</v>
      </c>
      <c r="D32" s="9"/>
      <c r="E32" s="9"/>
      <c r="F32" s="9"/>
      <c r="G32" s="9"/>
      <c r="H32" s="9"/>
      <c r="I32" s="9"/>
      <c r="J32" s="10"/>
    </row>
    <row r="33" spans="3:10" ht="15" thickBot="1" x14ac:dyDescent="0.4">
      <c r="C33" s="3">
        <v>1</v>
      </c>
      <c r="D33" s="4">
        <v>2</v>
      </c>
      <c r="E33" s="4">
        <v>3</v>
      </c>
      <c r="F33" s="4">
        <v>4</v>
      </c>
      <c r="G33" s="4">
        <v>5</v>
      </c>
      <c r="H33" s="4" t="s">
        <v>14</v>
      </c>
      <c r="I33" s="4" t="s">
        <v>15</v>
      </c>
      <c r="J33" s="4" t="s">
        <v>16</v>
      </c>
    </row>
    <row r="34" spans="3:10" ht="15" thickBot="1" x14ac:dyDescent="0.4">
      <c r="C34" s="3">
        <v>100.432</v>
      </c>
      <c r="D34" s="4">
        <v>140.05699999999999</v>
      </c>
      <c r="E34" s="4">
        <v>156.21700000000001</v>
      </c>
      <c r="F34" s="4">
        <v>172.392</v>
      </c>
      <c r="G34" s="4">
        <v>484.71499999999997</v>
      </c>
      <c r="H34" s="6">
        <f>(C34+D34+E34+F34+G34)/5</f>
        <v>210.76259999999996</v>
      </c>
      <c r="I34" s="4">
        <f>E34</f>
        <v>156.21700000000001</v>
      </c>
      <c r="J34" s="6">
        <f>(((C34-H34)^2 +(D34-H34)^2 + (E34-H34)^2 + (F34-H34)^2 + (G34-H34)^2)/5)^0.5</f>
        <v>139.04644264216182</v>
      </c>
    </row>
    <row r="36" spans="3:10" ht="15" thickBot="1" x14ac:dyDescent="0.4"/>
    <row r="37" spans="3:10" ht="15" thickBot="1" x14ac:dyDescent="0.4">
      <c r="C37" s="8" t="s">
        <v>10</v>
      </c>
      <c r="D37" s="9"/>
      <c r="E37" s="9"/>
      <c r="F37" s="9"/>
      <c r="G37" s="9"/>
      <c r="H37" s="9"/>
      <c r="I37" s="9"/>
      <c r="J37" s="10"/>
    </row>
    <row r="38" spans="3:10" ht="15" thickBot="1" x14ac:dyDescent="0.4">
      <c r="C38" s="3">
        <v>1</v>
      </c>
      <c r="D38" s="4">
        <v>2</v>
      </c>
      <c r="E38" s="4">
        <v>3</v>
      </c>
      <c r="F38" s="4">
        <v>4</v>
      </c>
      <c r="G38" s="4">
        <v>5</v>
      </c>
      <c r="H38" s="4" t="s">
        <v>14</v>
      </c>
      <c r="I38" s="4" t="s">
        <v>15</v>
      </c>
      <c r="J38" s="4" t="s">
        <v>16</v>
      </c>
    </row>
    <row r="39" spans="3:10" ht="15" thickBot="1" x14ac:dyDescent="0.4">
      <c r="C39" s="3">
        <v>120.349</v>
      </c>
      <c r="D39" s="4">
        <v>137.99199999999999</v>
      </c>
      <c r="E39" s="4">
        <v>187.50200000000001</v>
      </c>
      <c r="F39" s="4">
        <v>249.58799999999999</v>
      </c>
      <c r="G39" s="4">
        <v>357.51299999999998</v>
      </c>
      <c r="H39" s="4">
        <f>(C39+D39+E39+F39+G39)/5</f>
        <v>210.58879999999999</v>
      </c>
      <c r="I39" s="4">
        <f>E39</f>
        <v>187.50200000000001</v>
      </c>
      <c r="J39" s="6">
        <f>(((C39-H39)^2 +(D39-H39)^2 + (E39-H39)^2 + (F39-H39)^2 + (G39-H39)^2)/5)^0.5</f>
        <v>86.08620720510342</v>
      </c>
    </row>
    <row r="42" spans="3:10" x14ac:dyDescent="0.35">
      <c r="C42" t="s">
        <v>17</v>
      </c>
    </row>
    <row r="44" spans="3:10" ht="15" thickBot="1" x14ac:dyDescent="0.4"/>
    <row r="45" spans="3:10" ht="15" thickBot="1" x14ac:dyDescent="0.4">
      <c r="C45" s="8" t="s">
        <v>2</v>
      </c>
      <c r="D45" s="9"/>
      <c r="E45" s="9"/>
      <c r="F45" s="9"/>
      <c r="G45" s="9"/>
      <c r="H45" s="9"/>
      <c r="I45" s="9"/>
      <c r="J45" s="10"/>
    </row>
    <row r="46" spans="3:10" ht="15" thickBot="1" x14ac:dyDescent="0.4">
      <c r="C46" s="3">
        <v>1</v>
      </c>
      <c r="D46" s="4">
        <v>2</v>
      </c>
      <c r="E46" s="4">
        <v>3</v>
      </c>
      <c r="F46" s="4">
        <v>4</v>
      </c>
      <c r="G46" s="4">
        <v>5</v>
      </c>
      <c r="H46" s="4" t="s">
        <v>14</v>
      </c>
      <c r="I46" s="4" t="s">
        <v>15</v>
      </c>
      <c r="J46" s="4" t="s">
        <v>16</v>
      </c>
    </row>
    <row r="47" spans="3:10" ht="15" thickBot="1" x14ac:dyDescent="0.4">
      <c r="C47" s="3">
        <v>73.834000000000003</v>
      </c>
      <c r="D47" s="4">
        <v>81.870999999999995</v>
      </c>
      <c r="E47" s="4">
        <v>165.47399999999999</v>
      </c>
      <c r="F47" s="4">
        <v>184.05699999999999</v>
      </c>
      <c r="G47" s="4">
        <v>287.94099999999997</v>
      </c>
      <c r="H47" s="4">
        <f>(C47+D47+E47+F47+G47)/5</f>
        <v>158.63539999999998</v>
      </c>
      <c r="I47" s="4">
        <f>E47</f>
        <v>165.47399999999999</v>
      </c>
      <c r="J47" s="6">
        <f>(((C47-H47)^2 +(D47-H47)^2 + (E47-H47)^2 + (F47-H47)^2 + (G47-H47)^2)/5)^0.5</f>
        <v>78.098672123410637</v>
      </c>
    </row>
    <row r="49" spans="3:10" ht="15" thickBot="1" x14ac:dyDescent="0.4"/>
    <row r="50" spans="3:10" ht="28" customHeight="1" thickBot="1" x14ac:dyDescent="0.4">
      <c r="C50" s="8" t="s">
        <v>3</v>
      </c>
      <c r="D50" s="9"/>
      <c r="E50" s="9"/>
      <c r="F50" s="9"/>
      <c r="G50" s="9"/>
      <c r="H50" s="9"/>
      <c r="I50" s="9"/>
      <c r="J50" s="10"/>
    </row>
    <row r="51" spans="3:10" ht="15" thickBot="1" x14ac:dyDescent="0.4">
      <c r="C51" s="3">
        <v>1</v>
      </c>
      <c r="D51" s="4">
        <v>2</v>
      </c>
      <c r="E51" s="4">
        <v>3</v>
      </c>
      <c r="F51" s="4">
        <v>4</v>
      </c>
      <c r="G51" s="4">
        <v>5</v>
      </c>
      <c r="H51" s="4" t="s">
        <v>14</v>
      </c>
      <c r="I51" s="4" t="s">
        <v>15</v>
      </c>
      <c r="J51" s="4" t="s">
        <v>16</v>
      </c>
    </row>
    <row r="52" spans="3:10" ht="15" thickBot="1" x14ac:dyDescent="0.4">
      <c r="C52" s="3">
        <v>175.13499999999999</v>
      </c>
      <c r="D52" s="4">
        <v>252.41300000000001</v>
      </c>
      <c r="E52" s="4">
        <v>302.334</v>
      </c>
      <c r="F52" s="4">
        <v>405.00900000000001</v>
      </c>
      <c r="G52" s="4">
        <v>585.73199999999997</v>
      </c>
      <c r="H52" s="4">
        <f>(C52+D52+E52+F52+G52)/5</f>
        <v>344.12459999999999</v>
      </c>
      <c r="I52" s="4">
        <f>E52</f>
        <v>302.334</v>
      </c>
      <c r="J52" s="6">
        <f>(((C52-H52)^2 +(D52-H52)^2 + (E52-H52)^2 + (F52-H52)^2 + (G52-H52)^2)/5)^0.5</f>
        <v>141.9830994373626</v>
      </c>
    </row>
    <row r="54" spans="3:10" ht="15" thickBot="1" x14ac:dyDescent="0.4"/>
    <row r="55" spans="3:10" ht="15" thickBot="1" x14ac:dyDescent="0.4">
      <c r="C55" s="8" t="s">
        <v>4</v>
      </c>
      <c r="D55" s="9"/>
      <c r="E55" s="9"/>
      <c r="F55" s="9"/>
      <c r="G55" s="9"/>
      <c r="H55" s="9"/>
      <c r="I55" s="9"/>
      <c r="J55" s="10"/>
    </row>
    <row r="56" spans="3:10" ht="15" thickBot="1" x14ac:dyDescent="0.4">
      <c r="C56" s="3">
        <v>1</v>
      </c>
      <c r="D56" s="4">
        <v>2</v>
      </c>
      <c r="E56" s="4">
        <v>3</v>
      </c>
      <c r="F56" s="4">
        <v>4</v>
      </c>
      <c r="G56" s="4">
        <v>5</v>
      </c>
      <c r="H56" s="4" t="s">
        <v>14</v>
      </c>
      <c r="I56" s="4" t="s">
        <v>15</v>
      </c>
      <c r="J56" s="4" t="s">
        <v>16</v>
      </c>
    </row>
    <row r="57" spans="3:10" ht="15" thickBot="1" x14ac:dyDescent="0.4">
      <c r="C57" s="3">
        <v>402.90100000000001</v>
      </c>
      <c r="D57" s="4">
        <v>484.70499999999998</v>
      </c>
      <c r="E57" s="4">
        <v>588.48199999999997</v>
      </c>
      <c r="F57" s="4">
        <v>880.50300000000004</v>
      </c>
      <c r="G57" s="4">
        <v>982.23699999999997</v>
      </c>
      <c r="H57" s="4">
        <f>(C57+D57+E57+F57+G57)/5</f>
        <v>667.76559999999995</v>
      </c>
      <c r="I57" s="4">
        <f>E57</f>
        <v>588.48199999999997</v>
      </c>
      <c r="J57" s="6">
        <f>(((C57-H57)^2 +(D57-H57)^2 + (E57-H57)^2 + (F57-H57)^2 + (G57-H57)^2)/5)^0.5</f>
        <v>225.43282441170805</v>
      </c>
    </row>
    <row r="59" spans="3:10" ht="15" thickBot="1" x14ac:dyDescent="0.4"/>
    <row r="60" spans="3:10" ht="15" thickBot="1" x14ac:dyDescent="0.4">
      <c r="C60" s="8" t="s">
        <v>5</v>
      </c>
      <c r="D60" s="9"/>
      <c r="E60" s="9"/>
      <c r="F60" s="9"/>
      <c r="G60" s="9"/>
      <c r="H60" s="9"/>
      <c r="I60" s="9"/>
      <c r="J60" s="10"/>
    </row>
    <row r="61" spans="3:10" ht="15" thickBot="1" x14ac:dyDescent="0.4">
      <c r="C61" s="3">
        <v>1</v>
      </c>
      <c r="D61" s="4">
        <v>2</v>
      </c>
      <c r="E61" s="4">
        <v>3</v>
      </c>
      <c r="F61" s="4">
        <v>4</v>
      </c>
      <c r="G61" s="4">
        <v>5</v>
      </c>
      <c r="H61" s="4" t="s">
        <v>14</v>
      </c>
      <c r="I61" s="4" t="s">
        <v>15</v>
      </c>
      <c r="J61" s="4" t="s">
        <v>16</v>
      </c>
    </row>
    <row r="62" spans="3:10" ht="15" thickBot="1" x14ac:dyDescent="0.4">
      <c r="C62" s="3">
        <v>140.864</v>
      </c>
      <c r="D62" s="4">
        <v>185.91399999999999</v>
      </c>
      <c r="E62" s="4">
        <v>265.46199999999999</v>
      </c>
      <c r="F62" s="4">
        <v>475.71899999999999</v>
      </c>
      <c r="G62" s="4">
        <v>553.56500000000005</v>
      </c>
      <c r="H62" s="4">
        <f>(C62+D62+E62+F62+G62)/5</f>
        <v>324.3048</v>
      </c>
      <c r="I62" s="4">
        <f>E62</f>
        <v>265.46199999999999</v>
      </c>
      <c r="J62" s="6">
        <f>(((C62-H62)^2 +(D62-H62)^2 + (E62-H62)^2 + (F62-H62)^2 + (G62-H62)^2)/5)^0.5</f>
        <v>162.32776411125735</v>
      </c>
    </row>
    <row r="65" spans="3:10" x14ac:dyDescent="0.35">
      <c r="C65" s="2" t="s">
        <v>18</v>
      </c>
    </row>
    <row r="66" spans="3:10" x14ac:dyDescent="0.35">
      <c r="C66" s="2" t="s">
        <v>12</v>
      </c>
    </row>
    <row r="68" spans="3:10" ht="15" thickBot="1" x14ac:dyDescent="0.4"/>
    <row r="69" spans="3:10" ht="15" thickBot="1" x14ac:dyDescent="0.4">
      <c r="C69" s="8" t="s">
        <v>19</v>
      </c>
      <c r="D69" s="9"/>
      <c r="E69" s="9"/>
      <c r="F69" s="9"/>
      <c r="G69" s="9"/>
      <c r="H69" s="9"/>
      <c r="I69" s="9"/>
      <c r="J69" s="10"/>
    </row>
    <row r="70" spans="3:10" ht="15" thickBot="1" x14ac:dyDescent="0.4">
      <c r="C70" s="3">
        <v>1</v>
      </c>
      <c r="D70" s="4">
        <v>2</v>
      </c>
      <c r="E70" s="4">
        <v>3</v>
      </c>
      <c r="F70" s="4">
        <v>4</v>
      </c>
      <c r="G70" s="4">
        <v>5</v>
      </c>
      <c r="H70" s="4" t="s">
        <v>14</v>
      </c>
      <c r="I70" s="4" t="s">
        <v>15</v>
      </c>
      <c r="J70" s="4" t="s">
        <v>16</v>
      </c>
    </row>
    <row r="71" spans="3:10" ht="15" thickBot="1" x14ac:dyDescent="0.4">
      <c r="C71" s="3">
        <v>26.6402</v>
      </c>
      <c r="D71" s="4">
        <v>53.516199999999998</v>
      </c>
      <c r="E71" s="4">
        <v>58.353999999999999</v>
      </c>
      <c r="F71" s="4">
        <v>85.704999999999998</v>
      </c>
      <c r="G71" s="4">
        <v>190.209</v>
      </c>
      <c r="H71" s="4">
        <f>(C71+D71+E71+F71+G71)/5</f>
        <v>82.884879999999995</v>
      </c>
      <c r="I71" s="4">
        <f>E71</f>
        <v>58.353999999999999</v>
      </c>
      <c r="J71" s="6">
        <f>(((C71-H71)^2 +(D71-H71)^2 + (E71-H71)^2 + (F71-H71)^2 + (G71-H71)^2)/5)^0.5</f>
        <v>56.840420965028052</v>
      </c>
    </row>
    <row r="73" spans="3:10" ht="15" thickBot="1" x14ac:dyDescent="0.4"/>
    <row r="74" spans="3:10" ht="15" thickBot="1" x14ac:dyDescent="0.4">
      <c r="C74" s="8" t="s">
        <v>20</v>
      </c>
      <c r="D74" s="9"/>
      <c r="E74" s="9"/>
      <c r="F74" s="9"/>
      <c r="G74" s="9"/>
      <c r="H74" s="9"/>
      <c r="I74" s="9"/>
      <c r="J74" s="10"/>
    </row>
    <row r="75" spans="3:10" ht="15" thickBot="1" x14ac:dyDescent="0.4">
      <c r="C75" s="3">
        <v>1</v>
      </c>
      <c r="D75" s="4">
        <v>2</v>
      </c>
      <c r="E75" s="4">
        <v>3</v>
      </c>
      <c r="F75" s="4">
        <v>4</v>
      </c>
      <c r="G75" s="4">
        <v>5</v>
      </c>
      <c r="H75" s="4" t="s">
        <v>14</v>
      </c>
      <c r="I75" s="4" t="s">
        <v>15</v>
      </c>
      <c r="J75" s="4" t="s">
        <v>16</v>
      </c>
    </row>
    <row r="76" spans="3:10" ht="15" thickBot="1" x14ac:dyDescent="0.4">
      <c r="C76" s="3">
        <v>89.138999999999996</v>
      </c>
      <c r="D76" s="4">
        <v>98.396000000000001</v>
      </c>
      <c r="E76" s="4">
        <v>119.712</v>
      </c>
      <c r="F76" s="4">
        <v>149.76400000000001</v>
      </c>
      <c r="G76" s="4">
        <v>273.73099999999999</v>
      </c>
      <c r="H76" s="4">
        <f>(C76+D76+E76+F76+G76)/5</f>
        <v>146.14839999999998</v>
      </c>
      <c r="I76" s="4">
        <f>E76</f>
        <v>119.712</v>
      </c>
      <c r="J76" s="6">
        <f>(((C76-H76)^2 +(D76-H76)^2 + (E76-H76)^2 + (F76-H76)^2 + (G76-H76)^2)/5)^0.5</f>
        <v>67.111309069634459</v>
      </c>
    </row>
    <row r="78" spans="3:10" ht="15" thickBot="1" x14ac:dyDescent="0.4"/>
    <row r="79" spans="3:10" ht="15" thickBot="1" x14ac:dyDescent="0.4">
      <c r="C79" s="8" t="s">
        <v>21</v>
      </c>
      <c r="D79" s="9"/>
      <c r="E79" s="9"/>
      <c r="F79" s="9"/>
      <c r="G79" s="9"/>
      <c r="H79" s="9"/>
      <c r="I79" s="9"/>
      <c r="J79" s="10"/>
    </row>
    <row r="80" spans="3:10" ht="15" thickBot="1" x14ac:dyDescent="0.4">
      <c r="C80" s="3">
        <v>1</v>
      </c>
      <c r="D80" s="4">
        <v>2</v>
      </c>
      <c r="E80" s="4">
        <v>3</v>
      </c>
      <c r="F80" s="4">
        <v>4</v>
      </c>
      <c r="G80" s="4">
        <v>5</v>
      </c>
      <c r="H80" s="4" t="s">
        <v>14</v>
      </c>
      <c r="I80" s="4" t="s">
        <v>15</v>
      </c>
      <c r="J80" s="4" t="s">
        <v>16</v>
      </c>
    </row>
    <row r="81" spans="3:10" ht="15" thickBot="1" x14ac:dyDescent="0.4">
      <c r="C81" s="3">
        <v>95.959000000000003</v>
      </c>
      <c r="D81" s="4">
        <v>117.087</v>
      </c>
      <c r="E81" s="4">
        <v>128.83000000000001</v>
      </c>
      <c r="F81" s="4">
        <v>134.584</v>
      </c>
      <c r="G81" s="4">
        <v>474.76100000000002</v>
      </c>
      <c r="H81" s="4">
        <f>(C81+D81+E81+F81+G81)/5</f>
        <v>190.24420000000001</v>
      </c>
      <c r="I81" s="4">
        <f>E81</f>
        <v>128.83000000000001</v>
      </c>
      <c r="J81" s="6">
        <f>(((C81-H81)^2 +(D81-H81)^2 + (E81-H81)^2 + (F81-H81)^2 + (G81-H81)^2)/5)^0.5</f>
        <v>142.87144302399972</v>
      </c>
    </row>
    <row r="84" spans="3:10" x14ac:dyDescent="0.35">
      <c r="C84" t="s">
        <v>1</v>
      </c>
    </row>
    <row r="86" spans="3:10" ht="15" thickBot="1" x14ac:dyDescent="0.4"/>
    <row r="87" spans="3:10" ht="15" thickBot="1" x14ac:dyDescent="0.4">
      <c r="C87" s="8" t="s">
        <v>22</v>
      </c>
      <c r="D87" s="9"/>
      <c r="E87" s="9"/>
      <c r="F87" s="9"/>
      <c r="G87" s="9"/>
      <c r="H87" s="9"/>
      <c r="I87" s="9"/>
      <c r="J87" s="10"/>
    </row>
    <row r="88" spans="3:10" ht="15" thickBot="1" x14ac:dyDescent="0.4">
      <c r="C88" s="3">
        <v>1</v>
      </c>
      <c r="D88" s="4">
        <v>2</v>
      </c>
      <c r="E88" s="4">
        <v>3</v>
      </c>
      <c r="F88" s="4">
        <v>4</v>
      </c>
      <c r="G88" s="4">
        <v>5</v>
      </c>
      <c r="H88" s="4" t="s">
        <v>14</v>
      </c>
      <c r="I88" s="4" t="s">
        <v>15</v>
      </c>
      <c r="J88" s="4" t="s">
        <v>16</v>
      </c>
    </row>
    <row r="89" spans="3:10" ht="15" thickBot="1" x14ac:dyDescent="0.4">
      <c r="C89" s="3">
        <v>36.307000000000002</v>
      </c>
      <c r="D89" s="4">
        <v>61.828000000000003</v>
      </c>
      <c r="E89" s="4">
        <v>69.87</v>
      </c>
      <c r="F89" s="4">
        <v>171.351</v>
      </c>
      <c r="G89" s="4">
        <v>202.06100000000001</v>
      </c>
      <c r="H89" s="4">
        <f>(C89+D89+E89+F89+G89)/5</f>
        <v>108.2834</v>
      </c>
      <c r="I89" s="4">
        <f>E89</f>
        <v>69.87</v>
      </c>
      <c r="J89" s="6">
        <f>(((C89-H89)^2 +(D89-H89)^2 + (E89-H89)^2 + (F89-H89)^2 + (G89-H89)^2)/5)^0.5</f>
        <v>65.705488472729584</v>
      </c>
    </row>
    <row r="91" spans="3:10" ht="15" thickBot="1" x14ac:dyDescent="0.4"/>
    <row r="92" spans="3:10" ht="15" thickBot="1" x14ac:dyDescent="0.4">
      <c r="C92" s="8" t="s">
        <v>23</v>
      </c>
      <c r="D92" s="9"/>
      <c r="E92" s="9"/>
      <c r="F92" s="9"/>
      <c r="G92" s="9"/>
      <c r="H92" s="9"/>
      <c r="I92" s="9"/>
      <c r="J92" s="10"/>
    </row>
    <row r="93" spans="3:10" ht="15" thickBot="1" x14ac:dyDescent="0.4">
      <c r="C93" s="3">
        <v>1</v>
      </c>
      <c r="D93" s="4">
        <v>2</v>
      </c>
      <c r="E93" s="4">
        <v>3</v>
      </c>
      <c r="F93" s="4">
        <v>4</v>
      </c>
      <c r="G93" s="4">
        <v>5</v>
      </c>
      <c r="H93" s="4" t="s">
        <v>14</v>
      </c>
      <c r="I93" s="4" t="s">
        <v>15</v>
      </c>
      <c r="J93" s="4" t="s">
        <v>16</v>
      </c>
    </row>
    <row r="94" spans="3:10" ht="15" thickBot="1" x14ac:dyDescent="0.4">
      <c r="C94" s="3">
        <v>77.513000000000005</v>
      </c>
      <c r="D94" s="4">
        <v>104.687</v>
      </c>
      <c r="E94" s="4">
        <v>128.17400000000001</v>
      </c>
      <c r="F94" s="4">
        <v>148.19200000000001</v>
      </c>
      <c r="G94" s="4">
        <v>370.24099999999999</v>
      </c>
      <c r="H94" s="4">
        <f>(C94+D94+E94+F94+G94)/5</f>
        <v>165.76140000000001</v>
      </c>
      <c r="I94" s="4">
        <f>E94</f>
        <v>128.17400000000001</v>
      </c>
      <c r="J94" s="6">
        <f>(((C94-H94)^2 +(D94-H94)^2 + (E94-H94)^2 + (F94-H94)^2 + (G94-H94)^2)/5)^0.5</f>
        <v>104.92975336786034</v>
      </c>
    </row>
    <row r="96" spans="3:10" ht="15" thickBot="1" x14ac:dyDescent="0.4"/>
    <row r="97" spans="3:10" ht="15" thickBot="1" x14ac:dyDescent="0.4">
      <c r="C97" s="8" t="s">
        <v>24</v>
      </c>
      <c r="D97" s="9"/>
      <c r="E97" s="9"/>
      <c r="F97" s="9"/>
      <c r="G97" s="9"/>
      <c r="H97" s="9"/>
      <c r="I97" s="9"/>
      <c r="J97" s="10"/>
    </row>
    <row r="98" spans="3:10" ht="15" thickBot="1" x14ac:dyDescent="0.4">
      <c r="C98" s="3">
        <v>1</v>
      </c>
      <c r="D98" s="4">
        <v>2</v>
      </c>
      <c r="E98" s="4">
        <v>3</v>
      </c>
      <c r="F98" s="4">
        <v>4</v>
      </c>
      <c r="G98" s="4">
        <v>5</v>
      </c>
      <c r="H98" s="4" t="s">
        <v>14</v>
      </c>
      <c r="I98" s="4" t="s">
        <v>15</v>
      </c>
      <c r="J98" s="4" t="s">
        <v>16</v>
      </c>
    </row>
    <row r="99" spans="3:10" ht="15" thickBot="1" x14ac:dyDescent="0.4">
      <c r="C99" s="3">
        <v>167.46100000000001</v>
      </c>
      <c r="D99" s="4">
        <v>182.423</v>
      </c>
      <c r="E99" s="4">
        <v>259.07299999999998</v>
      </c>
      <c r="F99" s="4">
        <v>333.72300000000001</v>
      </c>
      <c r="G99" s="4">
        <v>431.71499999999997</v>
      </c>
      <c r="H99" s="4">
        <f>(C99+D99+E99+F99+G99)/5</f>
        <v>274.87900000000002</v>
      </c>
      <c r="I99" s="4">
        <f>E99</f>
        <v>259.07299999999998</v>
      </c>
      <c r="J99" s="6">
        <f>(((C99-H99)^2 +(D99-H99)^2 + (E99-H99)^2 + (F99-H99)^2 + (G99-H99)^2)/5)^0.5</f>
        <v>98.383652633961489</v>
      </c>
    </row>
  </sheetData>
  <mergeCells count="14">
    <mergeCell ref="C87:J87"/>
    <mergeCell ref="C92:J92"/>
    <mergeCell ref="C97:J97"/>
    <mergeCell ref="C50:J50"/>
    <mergeCell ref="C55:J55"/>
    <mergeCell ref="C60:J60"/>
    <mergeCell ref="C69:J69"/>
    <mergeCell ref="C74:J74"/>
    <mergeCell ref="C79:J79"/>
    <mergeCell ref="C22:J22"/>
    <mergeCell ref="C27:J27"/>
    <mergeCell ref="C32:J32"/>
    <mergeCell ref="C37:J37"/>
    <mergeCell ref="C45:J4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 Ali</dc:creator>
  <cp:lastModifiedBy>Ashiq Ali</cp:lastModifiedBy>
  <dcterms:created xsi:type="dcterms:W3CDTF">2020-02-04T01:02:05Z</dcterms:created>
  <dcterms:modified xsi:type="dcterms:W3CDTF">2020-02-04T01:39:22Z</dcterms:modified>
</cp:coreProperties>
</file>