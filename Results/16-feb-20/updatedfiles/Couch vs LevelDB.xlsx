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defaultThemeVersion="166925"/>
  <mc:AlternateContent xmlns:mc="http://schemas.openxmlformats.org/markup-compatibility/2006">
    <mc:Choice Requires="x15">
      <x15ac:absPath xmlns:x15ac="http://schemas.microsoft.com/office/spreadsheetml/2010/11/ac" url="C:\Users\Taha Ch\OneDrive\Desktop\"/>
    </mc:Choice>
  </mc:AlternateContent>
  <xr:revisionPtr revIDLastSave="161" documentId="8_{29B35740-2B65-485F-AC0A-FC7C675E7B00}" xr6:coauthVersionLast="45" xr6:coauthVersionMax="45" xr10:uidLastSave="{F6DB85D0-AC40-4598-B23E-75DCD1172760}"/>
  <bookViews>
    <workbookView xWindow="-110" yWindow="-110" windowWidth="21820" windowHeight="14020" xr2:uid="{AB7EE966-7E27-4617-89F3-78C1507B04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27" i="1" l="1"/>
  <c r="J28" i="1"/>
  <c r="J29" i="1"/>
  <c r="J30" i="1"/>
  <c r="J31" i="1"/>
  <c r="J32" i="1"/>
  <c r="J33" i="1"/>
  <c r="J41" i="1"/>
  <c r="J42" i="1"/>
  <c r="J43" i="1"/>
  <c r="J44" i="1"/>
  <c r="J45" i="1"/>
  <c r="J46" i="1"/>
  <c r="J47" i="1"/>
  <c r="J72" i="1"/>
  <c r="J73" i="1"/>
  <c r="J74" i="1"/>
  <c r="J75" i="1"/>
  <c r="J76" i="1"/>
  <c r="J77" i="1"/>
  <c r="J78" i="1"/>
  <c r="H91" i="1"/>
  <c r="H85" i="1"/>
  <c r="H86" i="1"/>
  <c r="H87" i="1"/>
  <c r="H88" i="1"/>
  <c r="J88" i="1" s="1"/>
  <c r="H89" i="1"/>
  <c r="H90" i="1"/>
  <c r="I85" i="1"/>
  <c r="I86" i="1"/>
  <c r="I87" i="1"/>
  <c r="I88" i="1"/>
  <c r="I89" i="1"/>
  <c r="I90" i="1"/>
  <c r="I91" i="1"/>
  <c r="J85" i="1"/>
  <c r="J86" i="1"/>
  <c r="J87" i="1"/>
  <c r="J89" i="1"/>
  <c r="J90" i="1"/>
  <c r="J91" i="1"/>
  <c r="I84" i="1"/>
  <c r="H84" i="1"/>
  <c r="J84" i="1" s="1"/>
  <c r="J71" i="1"/>
  <c r="I78" i="1"/>
  <c r="I72" i="1"/>
  <c r="I73" i="1"/>
  <c r="I74" i="1"/>
  <c r="I75" i="1"/>
  <c r="I76" i="1"/>
  <c r="I77" i="1"/>
  <c r="I71" i="1"/>
  <c r="H72" i="1"/>
  <c r="H73" i="1"/>
  <c r="H74" i="1"/>
  <c r="H75" i="1"/>
  <c r="H76" i="1"/>
  <c r="H77" i="1"/>
  <c r="H78" i="1"/>
  <c r="H71" i="1"/>
  <c r="J40" i="1"/>
  <c r="I47" i="1"/>
  <c r="I41" i="1"/>
  <c r="I42" i="1"/>
  <c r="I43" i="1"/>
  <c r="I44" i="1"/>
  <c r="I45" i="1"/>
  <c r="I46" i="1"/>
  <c r="H41" i="1"/>
  <c r="H42" i="1"/>
  <c r="H43" i="1"/>
  <c r="H44" i="1"/>
  <c r="H45" i="1"/>
  <c r="H46" i="1"/>
  <c r="H47" i="1"/>
  <c r="I40" i="1"/>
  <c r="H40" i="1"/>
  <c r="J26" i="1"/>
  <c r="J12" i="1"/>
  <c r="I27" i="1"/>
  <c r="I28" i="1"/>
  <c r="I29" i="1"/>
  <c r="I30" i="1"/>
  <c r="I31" i="1"/>
  <c r="I32" i="1"/>
  <c r="I33" i="1"/>
  <c r="I26" i="1"/>
  <c r="H27" i="1"/>
  <c r="H28" i="1"/>
  <c r="H29" i="1"/>
  <c r="H30" i="1"/>
  <c r="H31" i="1"/>
  <c r="H32" i="1"/>
  <c r="H33" i="1"/>
  <c r="H26" i="1"/>
  <c r="I13" i="1" l="1"/>
  <c r="I14" i="1"/>
  <c r="I15" i="1"/>
  <c r="I16" i="1"/>
  <c r="I17" i="1"/>
  <c r="I18" i="1"/>
  <c r="I12" i="1"/>
  <c r="H13" i="1"/>
  <c r="J13" i="1" s="1"/>
  <c r="H14" i="1"/>
  <c r="J14" i="1" s="1"/>
  <c r="H15" i="1"/>
  <c r="J15" i="1" s="1"/>
  <c r="H16" i="1"/>
  <c r="J16" i="1" s="1"/>
  <c r="H17" i="1"/>
  <c r="J17" i="1" s="1"/>
  <c r="H18" i="1"/>
  <c r="J18" i="1" s="1"/>
  <c r="H12" i="1"/>
  <c r="H60" i="1" l="1"/>
  <c r="J60" i="1" s="1"/>
  <c r="H61" i="1"/>
  <c r="J61" i="1" s="1"/>
  <c r="H62" i="1"/>
  <c r="J62" i="1" s="1"/>
  <c r="H63" i="1"/>
  <c r="J63" i="1" s="1"/>
  <c r="H64" i="1"/>
  <c r="J64" i="1" s="1"/>
  <c r="H65" i="1"/>
  <c r="J65" i="1" s="1"/>
  <c r="H59" i="1"/>
  <c r="J59" i="1" s="1"/>
  <c r="I60" i="1"/>
  <c r="I61" i="1"/>
  <c r="I62" i="1"/>
  <c r="I63" i="1"/>
  <c r="I64" i="1"/>
  <c r="I65" i="1"/>
  <c r="I59" i="1"/>
</calcChain>
</file>

<file path=xl/sharedStrings.xml><?xml version="1.0" encoding="utf-8"?>
<sst xmlns="http://schemas.openxmlformats.org/spreadsheetml/2006/main" count="77" uniqueCount="18">
  <si>
    <t>Settings: 2 orgs, Chaincode JS, Solo, couchdb</t>
  </si>
  <si>
    <t>Note: Update includes execution time only, no endorsement, update and delete are contract.submitTransaction() while query are contract.evaluateTransaction()</t>
  </si>
  <si>
    <t>CouchDB:</t>
  </si>
  <si>
    <t>Mean</t>
  </si>
  <si>
    <t>Median</t>
  </si>
  <si>
    <t>Std. Dev.</t>
  </si>
  <si>
    <t>Get Key</t>
  </si>
  <si>
    <t>Query(2 column)</t>
  </si>
  <si>
    <t>Query(3 column)</t>
  </si>
  <si>
    <t>Update</t>
  </si>
  <si>
    <t>Update(2 column)</t>
  </si>
  <si>
    <t>Update(3 column)</t>
  </si>
  <si>
    <t>Delete</t>
  </si>
  <si>
    <t>LevelDB:</t>
  </si>
  <si>
    <t>Since LevelDB doesn’t support queries, therefore it is suggested to create inverted indexes which would take away the liberty to query an object based on any field, or in that case we might need to create multiple inverted indexes against each individual field and that doesn’t appear to be a good practice and requires a lot of overhead, therefore I’ll be fetching the results using getStateByRange() and then programmatically iterating through the iterator until the required object is found and then return it as response to the client.</t>
  </si>
  <si>
    <t>Number of records: 100</t>
  </si>
  <si>
    <t>Save Key/Value</t>
  </si>
  <si>
    <t>Number of records: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</si>
</sst>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rial"/>
      <family val="2"/>
    </font>
  </fonts>
  <fills count="2">
    <fill>
      <patternFill patternType="none"/>
    </fill>
    <fill>
      <patternFill patternType="gray125"/>
    </fill>
  </fills>
  <borders count="6">
    <border>
      <left/>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1" fillId="0" borderId="0" xfId="0" applyFont="1"/>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2" fontId="1" fillId="0" borderId="5" xfId="0" applyNumberFormat="1" applyFont="1" applyBorder="1" applyAlignment="1">
      <alignment vertical="center" wrapText="1"/>
    </xf>
    <xf numFmtId="2" fontId="1" fillId="0" borderId="2"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D96E-ED7C-4845-A24A-53E7876E178E}">
  <dimension ref="B3:J91"/>
  <sheetViews>
    <sheetView tabSelected="1" zoomScale="90" zoomScaleNormal="90" workbookViewId="0">
      <selection activeCell="P12" sqref="P12"/>
    </sheetView>
  </sheetViews>
  <sheetFormatPr defaultRowHeight="14.5" x14ac:dyDescent="0.35"/>
  <cols>
    <col min="10" max="10" width="12.26953125" bestFit="1" customWidth="1"/>
  </cols>
  <sheetData>
    <row r="3" spans="2:10" x14ac:dyDescent="0.35">
      <c r="B3" s="1" t="s">
        <v>2</v>
      </c>
    </row>
    <row r="6" spans="2:10" x14ac:dyDescent="0.35">
      <c r="B6" s="1" t="s">
        <v>0</v>
      </c>
    </row>
    <row r="7" spans="2:10" x14ac:dyDescent="0.35">
      <c r="B7" s="2" t="s">
        <v>1</v>
      </c>
    </row>
    <row r="11" spans="2:10" ht="28" x14ac:dyDescent="0.35">
      <c r="B11" s="4"/>
      <c r="C11" s="4">
        <v>1</v>
      </c>
      <c r="D11" s="4">
        <v>2</v>
      </c>
      <c r="E11" s="4">
        <v>3</v>
      </c>
      <c r="F11" s="4">
        <v>4</v>
      </c>
      <c r="G11" s="4">
        <v>5</v>
      </c>
      <c r="H11" s="4" t="s">
        <v>3</v>
      </c>
      <c r="I11" s="4" t="s">
        <v>4</v>
      </c>
      <c r="J11" s="4" t="s">
        <v>5</v>
      </c>
    </row>
    <row r="12" spans="2:10" x14ac:dyDescent="0.35">
      <c r="B12" s="4" t="s">
        <v>6</v>
      </c>
      <c r="C12" s="4">
        <v>18</v>
      </c>
      <c r="D12" s="4">
        <v>24</v>
      </c>
      <c r="E12" s="4">
        <v>31</v>
      </c>
      <c r="F12" s="4">
        <v>34</v>
      </c>
      <c r="G12" s="4">
        <v>35</v>
      </c>
      <c r="H12" s="4">
        <f>(C12+D12+E12+F12+G12)/5</f>
        <v>28.4</v>
      </c>
      <c r="I12" s="4">
        <f>E12</f>
        <v>31</v>
      </c>
      <c r="J12" s="9">
        <f>(((C12-H12)^2 +(D12-H12)^2 + (E12-H12)^2 + (F12-H12)^2 + (G12-H12)^2)/5)^0.5</f>
        <v>6.4683846515184911</v>
      </c>
    </row>
    <row r="13" spans="2:10" ht="28" x14ac:dyDescent="0.35">
      <c r="B13" s="4" t="s">
        <v>7</v>
      </c>
      <c r="C13" s="4">
        <v>36</v>
      </c>
      <c r="D13" s="4">
        <v>40</v>
      </c>
      <c r="E13" s="4">
        <v>44</v>
      </c>
      <c r="F13" s="4">
        <v>46</v>
      </c>
      <c r="G13" s="4">
        <v>61</v>
      </c>
      <c r="H13" s="4">
        <f t="shared" ref="H13:H18" si="0">(C13+D13+E13+F13+G13)/5</f>
        <v>45.4</v>
      </c>
      <c r="I13" s="4">
        <f t="shared" ref="I13:I18" si="1">E13</f>
        <v>44</v>
      </c>
      <c r="J13" s="9">
        <f t="shared" ref="J13:J18" si="2">(((C13-H13)^2 +(D13-H13)^2 + (E13-H13)^2 + (F13-H13)^2 + (G13-H13)^2)/5)^0.5</f>
        <v>8.5229103010650071</v>
      </c>
    </row>
    <row r="14" spans="2:10" ht="28" x14ac:dyDescent="0.35">
      <c r="B14" s="4" t="s">
        <v>8</v>
      </c>
      <c r="C14" s="4">
        <v>40</v>
      </c>
      <c r="D14" s="4">
        <v>49</v>
      </c>
      <c r="E14" s="4">
        <v>60</v>
      </c>
      <c r="F14" s="4">
        <v>65</v>
      </c>
      <c r="G14" s="4">
        <v>68</v>
      </c>
      <c r="H14" s="4">
        <f t="shared" si="0"/>
        <v>56.4</v>
      </c>
      <c r="I14" s="4">
        <f t="shared" si="1"/>
        <v>60</v>
      </c>
      <c r="J14" s="9">
        <f t="shared" si="2"/>
        <v>10.44222198576529</v>
      </c>
    </row>
    <row r="15" spans="2:10" x14ac:dyDescent="0.35">
      <c r="B15" s="4" t="s">
        <v>9</v>
      </c>
      <c r="C15" s="4">
        <v>33</v>
      </c>
      <c r="D15" s="4">
        <v>41</v>
      </c>
      <c r="E15" s="4">
        <v>46</v>
      </c>
      <c r="F15" s="4">
        <v>53</v>
      </c>
      <c r="G15" s="4">
        <v>56</v>
      </c>
      <c r="H15" s="4">
        <f t="shared" si="0"/>
        <v>45.8</v>
      </c>
      <c r="I15" s="4">
        <f t="shared" si="1"/>
        <v>46</v>
      </c>
      <c r="J15" s="9">
        <f t="shared" si="2"/>
        <v>8.2800966177937791</v>
      </c>
    </row>
    <row r="16" spans="2:10" ht="42" x14ac:dyDescent="0.35">
      <c r="B16" s="4" t="s">
        <v>10</v>
      </c>
      <c r="C16" s="4">
        <v>57</v>
      </c>
      <c r="D16" s="4">
        <v>63</v>
      </c>
      <c r="E16" s="4">
        <v>69</v>
      </c>
      <c r="F16" s="4">
        <v>74</v>
      </c>
      <c r="G16" s="4">
        <v>86</v>
      </c>
      <c r="H16" s="4">
        <f t="shared" si="0"/>
        <v>69.8</v>
      </c>
      <c r="I16" s="4">
        <f t="shared" si="1"/>
        <v>69</v>
      </c>
      <c r="J16" s="9">
        <f t="shared" si="2"/>
        <v>9.9075728612006682</v>
      </c>
    </row>
    <row r="17" spans="2:10" ht="42" x14ac:dyDescent="0.35">
      <c r="B17" s="4" t="s">
        <v>11</v>
      </c>
      <c r="C17" s="4">
        <v>67</v>
      </c>
      <c r="D17" s="4">
        <v>71</v>
      </c>
      <c r="E17" s="4">
        <v>78</v>
      </c>
      <c r="F17" s="4">
        <v>91</v>
      </c>
      <c r="G17" s="4">
        <v>94</v>
      </c>
      <c r="H17" s="4">
        <f t="shared" si="0"/>
        <v>80.2</v>
      </c>
      <c r="I17" s="4">
        <f t="shared" si="1"/>
        <v>78</v>
      </c>
      <c r="J17" s="9">
        <f t="shared" si="2"/>
        <v>10.684568311354464</v>
      </c>
    </row>
    <row r="18" spans="2:10" x14ac:dyDescent="0.35">
      <c r="B18" s="4" t="s">
        <v>12</v>
      </c>
      <c r="C18" s="4">
        <v>27</v>
      </c>
      <c r="D18" s="4">
        <v>28</v>
      </c>
      <c r="E18" s="4">
        <v>33</v>
      </c>
      <c r="F18" s="4">
        <v>36</v>
      </c>
      <c r="G18" s="4">
        <v>45</v>
      </c>
      <c r="H18" s="4">
        <f t="shared" si="0"/>
        <v>33.799999999999997</v>
      </c>
      <c r="I18" s="4">
        <f t="shared" si="1"/>
        <v>33</v>
      </c>
      <c r="J18" s="9">
        <f t="shared" si="2"/>
        <v>6.4930732322991709</v>
      </c>
    </row>
    <row r="21" spans="2:10" x14ac:dyDescent="0.35">
      <c r="B21" s="1" t="s">
        <v>2</v>
      </c>
    </row>
    <row r="22" spans="2:10" x14ac:dyDescent="0.35">
      <c r="B22" s="1" t="s">
        <v>15</v>
      </c>
    </row>
    <row r="23" spans="2:10" x14ac:dyDescent="0.35">
      <c r="B23" s="1"/>
    </row>
    <row r="24" spans="2:10" ht="15" thickBot="1" x14ac:dyDescent="0.4"/>
    <row r="25" spans="2:10" ht="15" thickBot="1" x14ac:dyDescent="0.4">
      <c r="B25" s="5"/>
      <c r="C25" s="6">
        <v>1</v>
      </c>
      <c r="D25" s="6">
        <v>2</v>
      </c>
      <c r="E25" s="6">
        <v>3</v>
      </c>
      <c r="F25" s="6">
        <v>4</v>
      </c>
      <c r="G25" s="6">
        <v>5</v>
      </c>
      <c r="H25" s="6" t="s">
        <v>3</v>
      </c>
      <c r="I25" s="6" t="s">
        <v>4</v>
      </c>
      <c r="J25" s="6" t="s">
        <v>5</v>
      </c>
    </row>
    <row r="26" spans="2:10" ht="15" thickBot="1" x14ac:dyDescent="0.4">
      <c r="B26" s="3" t="s">
        <v>6</v>
      </c>
      <c r="C26" s="7">
        <v>19</v>
      </c>
      <c r="D26" s="7">
        <v>26</v>
      </c>
      <c r="E26" s="7">
        <v>31</v>
      </c>
      <c r="F26" s="7">
        <v>39</v>
      </c>
      <c r="G26" s="7">
        <v>42</v>
      </c>
      <c r="H26" s="7">
        <f>(C26+D26+E26+F26+G26)/5</f>
        <v>31.4</v>
      </c>
      <c r="I26" s="7">
        <f>E26</f>
        <v>31</v>
      </c>
      <c r="J26" s="8">
        <f>(((C26-H26)^2 +(D26-H26)^2 + (E26-H26)^2 + (F26-H26)^2 + (G26-H26)^2)/5)^0.5</f>
        <v>8.4047605557802783</v>
      </c>
    </row>
    <row r="27" spans="2:10" ht="42.5" thickBot="1" x14ac:dyDescent="0.4">
      <c r="B27" s="3" t="s">
        <v>16</v>
      </c>
      <c r="C27" s="7">
        <v>25</v>
      </c>
      <c r="D27" s="7">
        <v>31</v>
      </c>
      <c r="E27" s="7">
        <v>35</v>
      </c>
      <c r="F27" s="7">
        <v>46</v>
      </c>
      <c r="G27" s="7">
        <v>57</v>
      </c>
      <c r="H27" s="7">
        <f t="shared" ref="H27:H33" si="3">(C27+D27+E27+F27+G27)/5</f>
        <v>38.799999999999997</v>
      </c>
      <c r="I27" s="7">
        <f t="shared" ref="I27:I33" si="4">E27</f>
        <v>35</v>
      </c>
      <c r="J27" s="8">
        <f t="shared" ref="J27:J33" si="5">(((C27-H27)^2 +(D27-H27)^2 + (E27-H27)^2 + (F27-H27)^2 + (G27-H27)^2)/5)^0.5</f>
        <v>11.391224692718513</v>
      </c>
    </row>
    <row r="28" spans="2:10" ht="28.5" thickBot="1" x14ac:dyDescent="0.4">
      <c r="B28" s="3" t="s">
        <v>7</v>
      </c>
      <c r="C28" s="7">
        <v>54</v>
      </c>
      <c r="D28" s="7">
        <v>58</v>
      </c>
      <c r="E28" s="7">
        <v>63</v>
      </c>
      <c r="F28" s="7">
        <v>72</v>
      </c>
      <c r="G28" s="7">
        <v>81</v>
      </c>
      <c r="H28" s="7">
        <f t="shared" si="3"/>
        <v>65.599999999999994</v>
      </c>
      <c r="I28" s="7">
        <f t="shared" si="4"/>
        <v>63</v>
      </c>
      <c r="J28" s="8">
        <f t="shared" si="5"/>
        <v>9.769339793455849</v>
      </c>
    </row>
    <row r="29" spans="2:10" ht="28.5" thickBot="1" x14ac:dyDescent="0.4">
      <c r="B29" s="3" t="s">
        <v>8</v>
      </c>
      <c r="C29" s="7">
        <v>58</v>
      </c>
      <c r="D29" s="7">
        <v>68</v>
      </c>
      <c r="E29" s="7">
        <v>78</v>
      </c>
      <c r="F29" s="7">
        <v>89</v>
      </c>
      <c r="G29" s="7">
        <v>94</v>
      </c>
      <c r="H29" s="7">
        <f t="shared" si="3"/>
        <v>77.400000000000006</v>
      </c>
      <c r="I29" s="7">
        <f t="shared" si="4"/>
        <v>78</v>
      </c>
      <c r="J29" s="8">
        <f t="shared" si="5"/>
        <v>13.230268326832983</v>
      </c>
    </row>
    <row r="30" spans="2:10" ht="15" thickBot="1" x14ac:dyDescent="0.4">
      <c r="B30" s="3" t="s">
        <v>9</v>
      </c>
      <c r="C30" s="7">
        <v>25</v>
      </c>
      <c r="D30" s="7">
        <v>37</v>
      </c>
      <c r="E30" s="7">
        <v>40</v>
      </c>
      <c r="F30" s="7">
        <v>45</v>
      </c>
      <c r="G30" s="7">
        <v>53</v>
      </c>
      <c r="H30" s="7">
        <f t="shared" si="3"/>
        <v>40</v>
      </c>
      <c r="I30" s="7">
        <f t="shared" si="4"/>
        <v>40</v>
      </c>
      <c r="J30" s="8">
        <f t="shared" si="5"/>
        <v>9.2520268049763015</v>
      </c>
    </row>
    <row r="31" spans="2:10" ht="42.5" thickBot="1" x14ac:dyDescent="0.4">
      <c r="B31" s="3" t="s">
        <v>10</v>
      </c>
      <c r="C31" s="7">
        <v>45</v>
      </c>
      <c r="D31" s="7">
        <v>65</v>
      </c>
      <c r="E31" s="7">
        <v>78</v>
      </c>
      <c r="F31" s="7">
        <v>87</v>
      </c>
      <c r="G31" s="7">
        <v>92</v>
      </c>
      <c r="H31" s="7">
        <f t="shared" si="3"/>
        <v>73.400000000000006</v>
      </c>
      <c r="I31" s="7">
        <f t="shared" si="4"/>
        <v>78</v>
      </c>
      <c r="J31" s="8">
        <f t="shared" si="5"/>
        <v>16.906803364326446</v>
      </c>
    </row>
    <row r="32" spans="2:10" ht="42.5" thickBot="1" x14ac:dyDescent="0.4">
      <c r="B32" s="3" t="s">
        <v>11</v>
      </c>
      <c r="C32" s="7">
        <v>51</v>
      </c>
      <c r="D32" s="7">
        <v>69</v>
      </c>
      <c r="E32" s="7">
        <v>82</v>
      </c>
      <c r="F32" s="7">
        <v>97</v>
      </c>
      <c r="G32" s="7">
        <v>106</v>
      </c>
      <c r="H32" s="7">
        <f t="shared" si="3"/>
        <v>81</v>
      </c>
      <c r="I32" s="7">
        <f t="shared" si="4"/>
        <v>82</v>
      </c>
      <c r="J32" s="8">
        <f t="shared" si="5"/>
        <v>19.626512680555351</v>
      </c>
    </row>
    <row r="33" spans="2:10" ht="15" thickBot="1" x14ac:dyDescent="0.4">
      <c r="B33" s="3" t="s">
        <v>12</v>
      </c>
      <c r="C33" s="7">
        <v>17</v>
      </c>
      <c r="D33" s="7">
        <v>21</v>
      </c>
      <c r="E33" s="7">
        <v>34</v>
      </c>
      <c r="F33" s="7">
        <v>49</v>
      </c>
      <c r="G33" s="7">
        <v>84</v>
      </c>
      <c r="H33" s="7">
        <f t="shared" si="3"/>
        <v>41</v>
      </c>
      <c r="I33" s="7">
        <f t="shared" si="4"/>
        <v>34</v>
      </c>
      <c r="J33" s="8">
        <f t="shared" si="5"/>
        <v>24.240462041801102</v>
      </c>
    </row>
    <row r="36" spans="2:10" x14ac:dyDescent="0.35">
      <c r="B36" s="1" t="s">
        <v>2</v>
      </c>
    </row>
    <row r="37" spans="2:10" x14ac:dyDescent="0.35">
      <c r="B37" s="1" t="s">
        <v>17</v>
      </c>
    </row>
    <row r="38" spans="2:10" ht="15" thickBot="1" x14ac:dyDescent="0.4"/>
    <row r="39" spans="2:10" ht="15" thickBot="1" x14ac:dyDescent="0.4">
      <c r="B39" s="5"/>
      <c r="C39" s="6">
        <v>1</v>
      </c>
      <c r="D39" s="6">
        <v>2</v>
      </c>
      <c r="E39" s="6">
        <v>3</v>
      </c>
      <c r="F39" s="6">
        <v>4</v>
      </c>
      <c r="G39" s="6">
        <v>5</v>
      </c>
      <c r="H39" s="6" t="s">
        <v>3</v>
      </c>
      <c r="I39" s="6" t="s">
        <v>4</v>
      </c>
      <c r="J39" s="6" t="s">
        <v>5</v>
      </c>
    </row>
    <row r="40" spans="2:10" ht="15" thickBot="1" x14ac:dyDescent="0.4">
      <c r="B40" s="3" t="s">
        <v>6</v>
      </c>
      <c r="C40" s="7">
        <v>13</v>
      </c>
      <c r="D40" s="7">
        <v>18</v>
      </c>
      <c r="E40" s="7">
        <v>21</v>
      </c>
      <c r="F40" s="7">
        <v>33</v>
      </c>
      <c r="G40" s="7">
        <v>43</v>
      </c>
      <c r="H40" s="7">
        <f>(C40+D40+E40+F40+G40)/5</f>
        <v>25.6</v>
      </c>
      <c r="I40" s="7">
        <f>E40</f>
        <v>21</v>
      </c>
      <c r="J40" s="8">
        <f>(((C40-H40)^2 +(D40-H40)^2 + (E40-H40)^2 + (F40-H40)^2 + (G40-H40)^2)/5)^0.5</f>
        <v>10.910545357588685</v>
      </c>
    </row>
    <row r="41" spans="2:10" ht="42.5" thickBot="1" x14ac:dyDescent="0.4">
      <c r="B41" s="3" t="s">
        <v>16</v>
      </c>
      <c r="C41" s="7">
        <v>22</v>
      </c>
      <c r="D41" s="7">
        <v>29</v>
      </c>
      <c r="E41" s="7">
        <v>41</v>
      </c>
      <c r="F41" s="7">
        <v>53</v>
      </c>
      <c r="G41" s="7">
        <v>66</v>
      </c>
      <c r="H41" s="7">
        <f t="shared" ref="H41:H47" si="6">(C41+D41+E41+F41+G41)/5</f>
        <v>42.2</v>
      </c>
      <c r="I41" s="7">
        <f t="shared" ref="I41:I46" si="7">E41</f>
        <v>41</v>
      </c>
      <c r="J41" s="8">
        <f t="shared" ref="J41:J47" si="8">(((C41-H41)^2 +(D41-H41)^2 + (E41-H41)^2 + (F41-H41)^2 + (G41-H41)^2)/5)^0.5</f>
        <v>15.917286200857232</v>
      </c>
    </row>
    <row r="42" spans="2:10" ht="28.5" thickBot="1" x14ac:dyDescent="0.4">
      <c r="B42" s="3" t="s">
        <v>7</v>
      </c>
      <c r="C42" s="7">
        <v>178</v>
      </c>
      <c r="D42" s="7">
        <v>189</v>
      </c>
      <c r="E42" s="7">
        <v>193</v>
      </c>
      <c r="F42" s="7">
        <v>211</v>
      </c>
      <c r="G42" s="7">
        <v>226</v>
      </c>
      <c r="H42" s="7">
        <f t="shared" si="6"/>
        <v>199.4</v>
      </c>
      <c r="I42" s="7">
        <f t="shared" si="7"/>
        <v>193</v>
      </c>
      <c r="J42" s="8">
        <f t="shared" si="8"/>
        <v>17.024687956024334</v>
      </c>
    </row>
    <row r="43" spans="2:10" ht="28.5" thickBot="1" x14ac:dyDescent="0.4">
      <c r="B43" s="3" t="s">
        <v>8</v>
      </c>
      <c r="C43" s="7">
        <v>181</v>
      </c>
      <c r="D43" s="7">
        <v>197</v>
      </c>
      <c r="E43" s="7">
        <v>210</v>
      </c>
      <c r="F43" s="7">
        <v>228</v>
      </c>
      <c r="G43" s="7">
        <v>243</v>
      </c>
      <c r="H43" s="7">
        <f t="shared" si="6"/>
        <v>211.8</v>
      </c>
      <c r="I43" s="7">
        <f t="shared" si="7"/>
        <v>210</v>
      </c>
      <c r="J43" s="8">
        <f t="shared" si="8"/>
        <v>21.939917957914062</v>
      </c>
    </row>
    <row r="44" spans="2:10" ht="15" thickBot="1" x14ac:dyDescent="0.4">
      <c r="B44" s="3" t="s">
        <v>9</v>
      </c>
      <c r="C44" s="7">
        <v>27</v>
      </c>
      <c r="D44" s="7">
        <v>32</v>
      </c>
      <c r="E44" s="7">
        <v>44</v>
      </c>
      <c r="F44" s="7">
        <v>62</v>
      </c>
      <c r="G44" s="7">
        <v>66</v>
      </c>
      <c r="H44" s="7">
        <f t="shared" si="6"/>
        <v>46.2</v>
      </c>
      <c r="I44" s="7">
        <f t="shared" si="7"/>
        <v>44</v>
      </c>
      <c r="J44" s="8">
        <f t="shared" si="8"/>
        <v>15.6</v>
      </c>
    </row>
    <row r="45" spans="2:10" ht="42.5" thickBot="1" x14ac:dyDescent="0.4">
      <c r="B45" s="3" t="s">
        <v>10</v>
      </c>
      <c r="C45" s="7">
        <v>201</v>
      </c>
      <c r="D45" s="7">
        <v>221</v>
      </c>
      <c r="E45" s="7">
        <v>237</v>
      </c>
      <c r="F45" s="7">
        <v>256</v>
      </c>
      <c r="G45" s="7">
        <v>271</v>
      </c>
      <c r="H45" s="7">
        <f t="shared" si="6"/>
        <v>237.2</v>
      </c>
      <c r="I45" s="7">
        <f t="shared" si="7"/>
        <v>237</v>
      </c>
      <c r="J45" s="8">
        <f t="shared" si="8"/>
        <v>24.774180107523236</v>
      </c>
    </row>
    <row r="46" spans="2:10" ht="42.5" thickBot="1" x14ac:dyDescent="0.4">
      <c r="B46" s="3" t="s">
        <v>11</v>
      </c>
      <c r="C46" s="7">
        <v>196</v>
      </c>
      <c r="D46" s="7">
        <v>219</v>
      </c>
      <c r="E46" s="7">
        <v>249</v>
      </c>
      <c r="F46" s="7">
        <v>251</v>
      </c>
      <c r="G46" s="7">
        <v>319</v>
      </c>
      <c r="H46" s="7">
        <f t="shared" si="6"/>
        <v>246.8</v>
      </c>
      <c r="I46" s="7">
        <f t="shared" si="7"/>
        <v>249</v>
      </c>
      <c r="J46" s="8">
        <f t="shared" si="8"/>
        <v>41.445868310363579</v>
      </c>
    </row>
    <row r="47" spans="2:10" ht="15" thickBot="1" x14ac:dyDescent="0.4">
      <c r="B47" s="3" t="s">
        <v>12</v>
      </c>
      <c r="C47" s="7">
        <v>20</v>
      </c>
      <c r="D47" s="7">
        <v>29</v>
      </c>
      <c r="E47" s="7">
        <v>35</v>
      </c>
      <c r="F47" s="7">
        <v>41</v>
      </c>
      <c r="G47" s="7">
        <v>51</v>
      </c>
      <c r="H47" s="7">
        <f t="shared" si="6"/>
        <v>35.200000000000003</v>
      </c>
      <c r="I47" s="7">
        <f>E47</f>
        <v>35</v>
      </c>
      <c r="J47" s="8">
        <f t="shared" si="8"/>
        <v>10.514751542475933</v>
      </c>
    </row>
    <row r="50" spans="2:10" x14ac:dyDescent="0.35">
      <c r="B50" s="1" t="s">
        <v>13</v>
      </c>
    </row>
    <row r="52" spans="2:10" x14ac:dyDescent="0.35">
      <c r="B52" s="1" t="s">
        <v>0</v>
      </c>
    </row>
    <row r="53" spans="2:10" x14ac:dyDescent="0.35">
      <c r="B53" s="1" t="s">
        <v>1</v>
      </c>
    </row>
    <row r="54" spans="2:10" x14ac:dyDescent="0.35">
      <c r="B54" s="1" t="s">
        <v>14</v>
      </c>
    </row>
    <row r="57" spans="2:10" ht="15" thickBot="1" x14ac:dyDescent="0.4"/>
    <row r="58" spans="2:10" ht="15" thickBot="1" x14ac:dyDescent="0.4">
      <c r="B58" s="5"/>
      <c r="C58" s="6">
        <v>1</v>
      </c>
      <c r="D58" s="6">
        <v>2</v>
      </c>
      <c r="E58" s="6">
        <v>3</v>
      </c>
      <c r="F58" s="6">
        <v>4</v>
      </c>
      <c r="G58" s="6">
        <v>5</v>
      </c>
      <c r="H58" s="6" t="s">
        <v>3</v>
      </c>
      <c r="I58" s="6" t="s">
        <v>4</v>
      </c>
      <c r="J58" s="6" t="s">
        <v>5</v>
      </c>
    </row>
    <row r="59" spans="2:10" ht="15" thickBot="1" x14ac:dyDescent="0.4">
      <c r="B59" s="3" t="s">
        <v>6</v>
      </c>
      <c r="C59" s="7">
        <v>12</v>
      </c>
      <c r="D59" s="7">
        <v>13</v>
      </c>
      <c r="E59" s="7">
        <v>15</v>
      </c>
      <c r="F59" s="7">
        <v>17</v>
      </c>
      <c r="G59" s="7">
        <v>19</v>
      </c>
      <c r="H59" s="7">
        <f>(C59+D59+E59+F59+G59)/5</f>
        <v>15.2</v>
      </c>
      <c r="I59" s="7">
        <f>E59</f>
        <v>15</v>
      </c>
      <c r="J59" s="8">
        <f>(((C59-H59)^2 +(D59-H59)^2 + (E59-H59)^2 + (F59-H59)^2 + (G59-H59)^2)/5)^0.5</f>
        <v>2.5612496949731396</v>
      </c>
    </row>
    <row r="60" spans="2:10" ht="28.5" thickBot="1" x14ac:dyDescent="0.4">
      <c r="B60" s="3" t="s">
        <v>7</v>
      </c>
      <c r="C60" s="7">
        <v>11</v>
      </c>
      <c r="D60" s="7">
        <v>15</v>
      </c>
      <c r="E60" s="7">
        <v>17</v>
      </c>
      <c r="F60" s="7">
        <v>19</v>
      </c>
      <c r="G60" s="7">
        <v>23</v>
      </c>
      <c r="H60" s="7">
        <f t="shared" ref="H60:H65" si="9">(C60+D60+E60+F60+G60)/5</f>
        <v>17</v>
      </c>
      <c r="I60" s="7">
        <f t="shared" ref="I60:I65" si="10">E60</f>
        <v>17</v>
      </c>
      <c r="J60" s="8">
        <f t="shared" ref="J60:J65" si="11">(((C60-H60)^2 +(D60-H60)^2 + (E60-H60)^2 + (F60-H60)^2 + (G60-H60)^2)/5)^0.5</f>
        <v>4</v>
      </c>
    </row>
    <row r="61" spans="2:10" ht="28.5" thickBot="1" x14ac:dyDescent="0.4">
      <c r="B61" s="3" t="s">
        <v>8</v>
      </c>
      <c r="C61" s="7">
        <v>14</v>
      </c>
      <c r="D61" s="7">
        <v>18</v>
      </c>
      <c r="E61" s="7">
        <v>22</v>
      </c>
      <c r="F61" s="7">
        <v>23</v>
      </c>
      <c r="G61" s="7">
        <v>33</v>
      </c>
      <c r="H61" s="7">
        <f t="shared" si="9"/>
        <v>22</v>
      </c>
      <c r="I61" s="7">
        <f t="shared" si="10"/>
        <v>22</v>
      </c>
      <c r="J61" s="8">
        <f t="shared" si="11"/>
        <v>6.3560994328282812</v>
      </c>
    </row>
    <row r="62" spans="2:10" ht="15" thickBot="1" x14ac:dyDescent="0.4">
      <c r="B62" s="3" t="s">
        <v>9</v>
      </c>
      <c r="C62" s="7">
        <v>28</v>
      </c>
      <c r="D62" s="7">
        <v>33</v>
      </c>
      <c r="E62" s="7">
        <v>43</v>
      </c>
      <c r="F62" s="7">
        <v>61</v>
      </c>
      <c r="G62" s="7">
        <v>71</v>
      </c>
      <c r="H62" s="7">
        <f t="shared" si="9"/>
        <v>47.2</v>
      </c>
      <c r="I62" s="7">
        <f t="shared" si="10"/>
        <v>43</v>
      </c>
      <c r="J62" s="8">
        <f t="shared" si="11"/>
        <v>16.399999999999999</v>
      </c>
    </row>
    <row r="63" spans="2:10" ht="42.5" thickBot="1" x14ac:dyDescent="0.4">
      <c r="B63" s="3" t="s">
        <v>10</v>
      </c>
      <c r="C63" s="7">
        <v>29</v>
      </c>
      <c r="D63" s="7">
        <v>40</v>
      </c>
      <c r="E63" s="7">
        <v>49</v>
      </c>
      <c r="F63" s="7">
        <v>57</v>
      </c>
      <c r="G63" s="7">
        <v>78</v>
      </c>
      <c r="H63" s="7">
        <f t="shared" si="9"/>
        <v>50.6</v>
      </c>
      <c r="I63" s="7">
        <f t="shared" si="10"/>
        <v>49</v>
      </c>
      <c r="J63" s="8">
        <f t="shared" si="11"/>
        <v>16.572265988693278</v>
      </c>
    </row>
    <row r="64" spans="2:10" ht="42.5" thickBot="1" x14ac:dyDescent="0.4">
      <c r="B64" s="3" t="s">
        <v>11</v>
      </c>
      <c r="C64" s="7">
        <v>37</v>
      </c>
      <c r="D64" s="7">
        <v>46</v>
      </c>
      <c r="E64" s="7">
        <v>54</v>
      </c>
      <c r="F64" s="7">
        <v>62</v>
      </c>
      <c r="G64" s="7">
        <v>81</v>
      </c>
      <c r="H64" s="7">
        <f t="shared" si="9"/>
        <v>56</v>
      </c>
      <c r="I64" s="7">
        <f t="shared" si="10"/>
        <v>54</v>
      </c>
      <c r="J64" s="8">
        <f t="shared" si="11"/>
        <v>15.006665185843255</v>
      </c>
    </row>
    <row r="65" spans="2:10" ht="15" thickBot="1" x14ac:dyDescent="0.4">
      <c r="B65" s="3" t="s">
        <v>12</v>
      </c>
      <c r="C65" s="7">
        <v>24</v>
      </c>
      <c r="D65" s="7">
        <v>27</v>
      </c>
      <c r="E65" s="7">
        <v>31</v>
      </c>
      <c r="F65" s="7">
        <v>26</v>
      </c>
      <c r="G65" s="7">
        <v>68</v>
      </c>
      <c r="H65" s="7">
        <f t="shared" si="9"/>
        <v>35.200000000000003</v>
      </c>
      <c r="I65" s="7">
        <f t="shared" si="10"/>
        <v>31</v>
      </c>
      <c r="J65" s="8">
        <f t="shared" si="11"/>
        <v>16.557777628655362</v>
      </c>
    </row>
    <row r="68" spans="2:10" x14ac:dyDescent="0.35">
      <c r="B68" s="1" t="s">
        <v>15</v>
      </c>
    </row>
    <row r="69" spans="2:10" ht="15" thickBot="1" x14ac:dyDescent="0.4"/>
    <row r="70" spans="2:10" ht="15" thickBot="1" x14ac:dyDescent="0.4">
      <c r="B70" s="5"/>
      <c r="C70" s="6">
        <v>1</v>
      </c>
      <c r="D70" s="6">
        <v>2</v>
      </c>
      <c r="E70" s="6">
        <v>3</v>
      </c>
      <c r="F70" s="6">
        <v>4</v>
      </c>
      <c r="G70" s="6">
        <v>5</v>
      </c>
      <c r="H70" s="6" t="s">
        <v>3</v>
      </c>
      <c r="I70" s="6" t="s">
        <v>4</v>
      </c>
      <c r="J70" s="6" t="s">
        <v>5</v>
      </c>
    </row>
    <row r="71" spans="2:10" ht="15" thickBot="1" x14ac:dyDescent="0.4">
      <c r="B71" s="3" t="s">
        <v>6</v>
      </c>
      <c r="C71" s="7">
        <v>10</v>
      </c>
      <c r="D71" s="7">
        <v>14</v>
      </c>
      <c r="E71" s="7">
        <v>17</v>
      </c>
      <c r="F71" s="7">
        <v>21</v>
      </c>
      <c r="G71" s="7">
        <v>32</v>
      </c>
      <c r="H71" s="7">
        <f>(C71+D71+E71+F71+G71)/5</f>
        <v>18.8</v>
      </c>
      <c r="I71" s="7">
        <f>E71</f>
        <v>17</v>
      </c>
      <c r="J71" s="8">
        <f>(((C71-H71)^2 +(D71-H71)^2 + (E71-H71)^2 + (F71-H71)^2 + (G71-H71)^2)/5)^0.5</f>
        <v>7.5206382707852661</v>
      </c>
    </row>
    <row r="72" spans="2:10" ht="42.5" thickBot="1" x14ac:dyDescent="0.4">
      <c r="B72" s="3" t="s">
        <v>16</v>
      </c>
      <c r="C72" s="7">
        <v>11</v>
      </c>
      <c r="D72" s="7">
        <v>19</v>
      </c>
      <c r="E72" s="7">
        <v>34</v>
      </c>
      <c r="F72" s="7">
        <v>40</v>
      </c>
      <c r="G72" s="7">
        <v>58</v>
      </c>
      <c r="H72" s="7">
        <f t="shared" ref="H72:H78" si="12">(C72+D72+E72+F72+G72)/5</f>
        <v>32.4</v>
      </c>
      <c r="I72" s="7">
        <f t="shared" ref="I72:I77" si="13">E72</f>
        <v>34</v>
      </c>
      <c r="J72" s="8">
        <f t="shared" ref="J72:J78" si="14">(((C72-H72)^2 +(D72-H72)^2 + (E72-H72)^2 + (F72-H72)^2 + (G72-H72)^2)/5)^0.5</f>
        <v>16.451139778143034</v>
      </c>
    </row>
    <row r="73" spans="2:10" ht="28.5" thickBot="1" x14ac:dyDescent="0.4">
      <c r="B73" s="3" t="s">
        <v>7</v>
      </c>
      <c r="C73" s="7">
        <v>31</v>
      </c>
      <c r="D73" s="7">
        <v>39</v>
      </c>
      <c r="E73" s="7">
        <v>45</v>
      </c>
      <c r="F73" s="7">
        <v>53</v>
      </c>
      <c r="G73" s="7">
        <v>56</v>
      </c>
      <c r="H73" s="7">
        <f t="shared" si="12"/>
        <v>44.8</v>
      </c>
      <c r="I73" s="7">
        <f t="shared" si="13"/>
        <v>45</v>
      </c>
      <c r="J73" s="8">
        <f t="shared" si="14"/>
        <v>9.1301697684106617</v>
      </c>
    </row>
    <row r="74" spans="2:10" ht="28.5" thickBot="1" x14ac:dyDescent="0.4">
      <c r="B74" s="3" t="s">
        <v>8</v>
      </c>
      <c r="C74" s="7">
        <v>30</v>
      </c>
      <c r="D74" s="7">
        <v>45</v>
      </c>
      <c r="E74" s="7">
        <v>52</v>
      </c>
      <c r="F74" s="7">
        <v>66</v>
      </c>
      <c r="G74" s="7">
        <v>84</v>
      </c>
      <c r="H74" s="7">
        <f t="shared" si="12"/>
        <v>55.4</v>
      </c>
      <c r="I74" s="7">
        <f t="shared" si="13"/>
        <v>52</v>
      </c>
      <c r="J74" s="8">
        <f t="shared" si="14"/>
        <v>18.413038858374247</v>
      </c>
    </row>
    <row r="75" spans="2:10" ht="15" thickBot="1" x14ac:dyDescent="0.4">
      <c r="B75" s="3" t="s">
        <v>9</v>
      </c>
      <c r="C75" s="7">
        <v>25</v>
      </c>
      <c r="D75" s="7">
        <v>37</v>
      </c>
      <c r="E75" s="7">
        <v>40</v>
      </c>
      <c r="F75" s="7">
        <v>45</v>
      </c>
      <c r="G75" s="7">
        <v>53</v>
      </c>
      <c r="H75" s="7">
        <f t="shared" si="12"/>
        <v>40</v>
      </c>
      <c r="I75" s="7">
        <f t="shared" si="13"/>
        <v>40</v>
      </c>
      <c r="J75" s="8">
        <f t="shared" si="14"/>
        <v>9.2520268049763015</v>
      </c>
    </row>
    <row r="76" spans="2:10" ht="42.5" thickBot="1" x14ac:dyDescent="0.4">
      <c r="B76" s="3" t="s">
        <v>10</v>
      </c>
      <c r="C76" s="7">
        <v>33</v>
      </c>
      <c r="D76" s="7">
        <v>48</v>
      </c>
      <c r="E76" s="7">
        <v>53</v>
      </c>
      <c r="F76" s="7">
        <v>59</v>
      </c>
      <c r="G76" s="7">
        <v>70</v>
      </c>
      <c r="H76" s="7">
        <f t="shared" si="12"/>
        <v>52.6</v>
      </c>
      <c r="I76" s="7">
        <f t="shared" si="13"/>
        <v>53</v>
      </c>
      <c r="J76" s="8">
        <f t="shared" si="14"/>
        <v>12.240914998479484</v>
      </c>
    </row>
    <row r="77" spans="2:10" ht="42.5" thickBot="1" x14ac:dyDescent="0.4">
      <c r="B77" s="3" t="s">
        <v>11</v>
      </c>
      <c r="C77" s="7">
        <v>48</v>
      </c>
      <c r="D77" s="7">
        <v>57</v>
      </c>
      <c r="E77" s="7">
        <v>69</v>
      </c>
      <c r="F77" s="7">
        <v>87</v>
      </c>
      <c r="G77" s="7">
        <v>96</v>
      </c>
      <c r="H77" s="7">
        <f t="shared" si="12"/>
        <v>71.400000000000006</v>
      </c>
      <c r="I77" s="7">
        <f t="shared" si="13"/>
        <v>69</v>
      </c>
      <c r="J77" s="8">
        <f t="shared" si="14"/>
        <v>17.939899665271263</v>
      </c>
    </row>
    <row r="78" spans="2:10" ht="15" thickBot="1" x14ac:dyDescent="0.4">
      <c r="B78" s="3" t="s">
        <v>12</v>
      </c>
      <c r="C78" s="7">
        <v>18</v>
      </c>
      <c r="D78" s="7">
        <v>26</v>
      </c>
      <c r="E78" s="7">
        <v>39</v>
      </c>
      <c r="F78" s="7">
        <v>45</v>
      </c>
      <c r="G78" s="7">
        <v>74</v>
      </c>
      <c r="H78" s="7">
        <f t="shared" si="12"/>
        <v>40.4</v>
      </c>
      <c r="I78" s="7">
        <f>E78</f>
        <v>39</v>
      </c>
      <c r="J78" s="8">
        <f t="shared" si="14"/>
        <v>19.293522228976229</v>
      </c>
    </row>
    <row r="81" spans="2:10" x14ac:dyDescent="0.35">
      <c r="B81" s="1" t="s">
        <v>17</v>
      </c>
    </row>
    <row r="82" spans="2:10" ht="15" thickBot="1" x14ac:dyDescent="0.4"/>
    <row r="83" spans="2:10" ht="15" thickBot="1" x14ac:dyDescent="0.4">
      <c r="B83" s="5"/>
      <c r="C83" s="6">
        <v>1</v>
      </c>
      <c r="D83" s="6">
        <v>2</v>
      </c>
      <c r="E83" s="6">
        <v>3</v>
      </c>
      <c r="F83" s="6">
        <v>4</v>
      </c>
      <c r="G83" s="6">
        <v>5</v>
      </c>
      <c r="H83" s="6" t="s">
        <v>3</v>
      </c>
      <c r="I83" s="6" t="s">
        <v>4</v>
      </c>
      <c r="J83" s="6" t="s">
        <v>5</v>
      </c>
    </row>
    <row r="84" spans="2:10" ht="15" thickBot="1" x14ac:dyDescent="0.4">
      <c r="B84" s="3" t="s">
        <v>6</v>
      </c>
      <c r="C84" s="7">
        <v>11</v>
      </c>
      <c r="D84" s="7">
        <v>14</v>
      </c>
      <c r="E84" s="7">
        <v>19</v>
      </c>
      <c r="F84" s="7">
        <v>20</v>
      </c>
      <c r="G84" s="7">
        <v>37</v>
      </c>
      <c r="H84" s="7">
        <f>(C84+D84+E84+F84+G84)/5</f>
        <v>20.2</v>
      </c>
      <c r="I84" s="7">
        <f>E84</f>
        <v>19</v>
      </c>
      <c r="J84" s="8">
        <f>(((C84-H84)^2 +(D84-H84)^2 + (E84-H84)^2 + (F84-H84)^2 + (G84-H84)^2)/5)^0.5</f>
        <v>9.0199778270237445</v>
      </c>
    </row>
    <row r="85" spans="2:10" ht="42.5" thickBot="1" x14ac:dyDescent="0.4">
      <c r="B85" s="3" t="s">
        <v>16</v>
      </c>
      <c r="C85" s="7">
        <v>16</v>
      </c>
      <c r="D85" s="7">
        <v>27</v>
      </c>
      <c r="E85" s="7">
        <v>35</v>
      </c>
      <c r="F85" s="7">
        <v>49</v>
      </c>
      <c r="G85" s="7">
        <v>58</v>
      </c>
      <c r="H85" s="7">
        <f t="shared" ref="H85:H90" si="15">(C85+D85+E85+F85+G85)/5</f>
        <v>37</v>
      </c>
      <c r="I85" s="7">
        <f t="shared" ref="I85:I91" si="16">E85</f>
        <v>35</v>
      </c>
      <c r="J85" s="8">
        <f t="shared" ref="J85:J91" si="17">(((C85-H85)^2 +(D85-H85)^2 + (E85-H85)^2 + (F85-H85)^2 + (G85-H85)^2)/5)^0.5</f>
        <v>15.033296378372908</v>
      </c>
    </row>
    <row r="86" spans="2:10" ht="28.5" thickBot="1" x14ac:dyDescent="0.4">
      <c r="B86" s="3" t="s">
        <v>7</v>
      </c>
      <c r="C86" s="7">
        <v>75</v>
      </c>
      <c r="D86" s="7">
        <v>84</v>
      </c>
      <c r="E86" s="7">
        <v>97</v>
      </c>
      <c r="F86" s="7">
        <v>106</v>
      </c>
      <c r="G86" s="7">
        <v>117</v>
      </c>
      <c r="H86" s="7">
        <f t="shared" si="15"/>
        <v>95.8</v>
      </c>
      <c r="I86" s="7">
        <f t="shared" si="16"/>
        <v>97</v>
      </c>
      <c r="J86" s="8">
        <f t="shared" si="17"/>
        <v>15.011995203836165</v>
      </c>
    </row>
    <row r="87" spans="2:10" ht="28.5" thickBot="1" x14ac:dyDescent="0.4">
      <c r="B87" s="3" t="s">
        <v>8</v>
      </c>
      <c r="C87" s="7">
        <v>88</v>
      </c>
      <c r="D87" s="7">
        <v>98</v>
      </c>
      <c r="E87" s="7">
        <v>107</v>
      </c>
      <c r="F87" s="7">
        <v>121</v>
      </c>
      <c r="G87" s="7">
        <v>144</v>
      </c>
      <c r="H87" s="7">
        <f t="shared" si="15"/>
        <v>111.6</v>
      </c>
      <c r="I87" s="7">
        <f t="shared" si="16"/>
        <v>107</v>
      </c>
      <c r="J87" s="8">
        <f t="shared" si="17"/>
        <v>19.499743588057768</v>
      </c>
    </row>
    <row r="88" spans="2:10" ht="15" thickBot="1" x14ac:dyDescent="0.4">
      <c r="B88" s="3" t="s">
        <v>9</v>
      </c>
      <c r="C88" s="7">
        <v>41</v>
      </c>
      <c r="D88" s="7">
        <v>52</v>
      </c>
      <c r="E88" s="7">
        <v>67</v>
      </c>
      <c r="F88" s="7">
        <v>71</v>
      </c>
      <c r="G88" s="7">
        <v>101</v>
      </c>
      <c r="H88" s="7">
        <f t="shared" si="15"/>
        <v>66.400000000000006</v>
      </c>
      <c r="I88" s="7">
        <f t="shared" si="16"/>
        <v>67</v>
      </c>
      <c r="J88" s="8">
        <f t="shared" si="17"/>
        <v>20.35288677313368</v>
      </c>
    </row>
    <row r="89" spans="2:10" ht="42.5" thickBot="1" x14ac:dyDescent="0.4">
      <c r="B89" s="3" t="s">
        <v>10</v>
      </c>
      <c r="C89" s="7">
        <v>86</v>
      </c>
      <c r="D89" s="7">
        <v>114</v>
      </c>
      <c r="E89" s="7">
        <v>127</v>
      </c>
      <c r="F89" s="7">
        <v>146</v>
      </c>
      <c r="G89" s="7">
        <v>167</v>
      </c>
      <c r="H89" s="7">
        <f t="shared" si="15"/>
        <v>128</v>
      </c>
      <c r="I89" s="7">
        <f t="shared" si="16"/>
        <v>127</v>
      </c>
      <c r="J89" s="8">
        <f t="shared" si="17"/>
        <v>27.589853207293437</v>
      </c>
    </row>
    <row r="90" spans="2:10" ht="42.5" thickBot="1" x14ac:dyDescent="0.4">
      <c r="B90" s="3" t="s">
        <v>11</v>
      </c>
      <c r="C90" s="7">
        <v>108</v>
      </c>
      <c r="D90" s="7">
        <v>134</v>
      </c>
      <c r="E90" s="7">
        <v>182</v>
      </c>
      <c r="F90" s="7">
        <v>201</v>
      </c>
      <c r="G90" s="7">
        <v>219</v>
      </c>
      <c r="H90" s="7">
        <f t="shared" si="15"/>
        <v>168.8</v>
      </c>
      <c r="I90" s="7">
        <f t="shared" si="16"/>
        <v>182</v>
      </c>
      <c r="J90" s="8">
        <f t="shared" si="17"/>
        <v>41.566332530065722</v>
      </c>
    </row>
    <row r="91" spans="2:10" ht="15" thickBot="1" x14ac:dyDescent="0.4">
      <c r="B91" s="3" t="s">
        <v>12</v>
      </c>
      <c r="C91" s="7">
        <v>28</v>
      </c>
      <c r="D91" s="7">
        <v>41</v>
      </c>
      <c r="E91" s="7">
        <v>71</v>
      </c>
      <c r="F91" s="7">
        <v>76</v>
      </c>
      <c r="G91" s="7">
        <v>88</v>
      </c>
      <c r="H91" s="7">
        <f>(C91+D91+E91+F91+G91)/5</f>
        <v>60.8</v>
      </c>
      <c r="I91" s="7">
        <f t="shared" si="16"/>
        <v>71</v>
      </c>
      <c r="J91" s="8">
        <f t="shared" si="17"/>
        <v>22.551274908527901</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Ashiq Ali</dc:creator>
  <cp:lastModifiedBy>Ashiq Ali</cp:lastModifiedBy>
  <dcterms:created xsi:type="dcterms:W3CDTF">2020-02-04T00:53:05Z</dcterms:created>
  <dcterms:modified xsi:type="dcterms:W3CDTF">2020-02-16T13:23:10Z</dcterms:modified>
</cp:coreProperties>
</file>