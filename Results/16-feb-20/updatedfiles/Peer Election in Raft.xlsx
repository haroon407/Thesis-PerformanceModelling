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86288fdc37c592/Desktop/"/>
    </mc:Choice>
  </mc:AlternateContent>
  <xr:revisionPtr revIDLastSave="12" documentId="8_{16FBF432-489C-4CDD-B367-B3DEC4DE7124}" xr6:coauthVersionLast="45" xr6:coauthVersionMax="45" xr10:uidLastSave="{8F9EEC71-8572-49FF-9873-7E6D91C6469A}"/>
  <bookViews>
    <workbookView xWindow="-110" yWindow="-110" windowWidth="21820" windowHeight="14020" xr2:uid="{0EFFE6C2-8EA7-4DCA-A33F-59EDB8298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1" l="1"/>
  <c r="I15" i="1"/>
  <c r="I16" i="1"/>
  <c r="I17" i="1"/>
  <c r="I14" i="1"/>
  <c r="J15" i="1"/>
  <c r="J16" i="1"/>
  <c r="J17" i="1"/>
  <c r="H15" i="1"/>
  <c r="H16" i="1"/>
  <c r="H17" i="1"/>
  <c r="H14" i="1"/>
</calcChain>
</file>

<file path=xl/sharedStrings.xml><?xml version="1.0" encoding="utf-8"?>
<sst xmlns="http://schemas.openxmlformats.org/spreadsheetml/2006/main" count="9" uniqueCount="9">
  <si>
    <t>Does peer election depends on number of nodes?</t>
  </si>
  <si>
    <t>Member elections / Kafka / Raft</t>
  </si>
  <si>
    <t>Raft: Minimum orderers required 3, else keep looping through leader elections</t>
  </si>
  <si>
    <t>https://ethereum.stackexchange.com/questions/67631/quorum-minimum-number-of-nodes-for-raft-consensus-and-istanbul-bft</t>
  </si>
  <si>
    <t>Raft</t>
  </si>
  <si>
    <t>Orderers</t>
  </si>
  <si>
    <t>mean</t>
  </si>
  <si>
    <t>median</t>
  </si>
  <si>
    <t>std.dev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</si>
</sst>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thereum.stackexchange.com/questions/67631/quorum-minimum-number-of-nodes-for-raft-consensus-and-istanbul-b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79503-219A-4E6E-B8EF-C7DBE31DA4B7}">
  <dimension ref="B2:J17"/>
  <sheetViews>
    <sheetView tabSelected="1" workbookViewId="0">
      <selection activeCell="J15" sqref="J15"/>
    </sheetView>
  </sheetViews>
  <sheetFormatPr defaultRowHeight="14.5" x14ac:dyDescent="0.35"/>
  <cols>
    <col min="10" max="10" width="12.26953125" bestFit="1" customWidth="1"/>
  </cols>
  <sheetData>
    <row r="2" spans="2:10" x14ac:dyDescent="0.35">
      <c r="B2" s="1" t="s">
        <v>0</v>
      </c>
    </row>
    <row r="4" spans="2:10" x14ac:dyDescent="0.35">
      <c r="B4" s="1" t="s">
        <v>1</v>
      </c>
    </row>
    <row r="7" spans="2:10" x14ac:dyDescent="0.35">
      <c r="B7" s="1" t="s">
        <v>2</v>
      </c>
    </row>
    <row r="8" spans="2:10" x14ac:dyDescent="0.35">
      <c r="B8" s="2" t="s">
        <v>3</v>
      </c>
    </row>
    <row r="11" spans="2:10" ht="15" thickBot="1" x14ac:dyDescent="0.4"/>
    <row r="12" spans="2:10" ht="15" thickBot="1" x14ac:dyDescent="0.4">
      <c r="B12" s="5" t="s">
        <v>4</v>
      </c>
      <c r="C12" s="6"/>
      <c r="D12" s="6"/>
      <c r="E12" s="6"/>
      <c r="F12" s="6"/>
      <c r="G12" s="6"/>
      <c r="H12" s="6"/>
      <c r="I12" s="6"/>
      <c r="J12" s="7"/>
    </row>
    <row r="13" spans="2:10" ht="15" thickBot="1" x14ac:dyDescent="0.4">
      <c r="B13" s="3" t="s">
        <v>5</v>
      </c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 t="s">
        <v>6</v>
      </c>
      <c r="I13" s="4" t="s">
        <v>7</v>
      </c>
      <c r="J13" s="4" t="s">
        <v>8</v>
      </c>
    </row>
    <row r="14" spans="2:10" ht="15" thickBot="1" x14ac:dyDescent="0.4">
      <c r="B14" s="3">
        <v>7</v>
      </c>
      <c r="C14" s="4">
        <v>5910</v>
      </c>
      <c r="D14" s="4">
        <v>6706</v>
      </c>
      <c r="E14" s="4">
        <v>7491</v>
      </c>
      <c r="F14" s="4">
        <v>8015</v>
      </c>
      <c r="G14" s="4">
        <v>9717</v>
      </c>
      <c r="H14" s="4">
        <f>(C14+D14+E14+F14+G14)/5</f>
        <v>7567.8</v>
      </c>
      <c r="I14" s="4">
        <f>E14</f>
        <v>7491</v>
      </c>
      <c r="J14" s="8">
        <f>(((C14-H14)^2 +(D14-H14)^2 + (E14-H14)^2 + (F14-H14)^2 + (G14-H14)^2)/5)^0.5</f>
        <v>1289.6469904590172</v>
      </c>
    </row>
    <row r="15" spans="2:10" ht="15" thickBot="1" x14ac:dyDescent="0.4">
      <c r="B15" s="3">
        <v>6</v>
      </c>
      <c r="C15" s="4">
        <v>5854</v>
      </c>
      <c r="D15" s="4">
        <v>6326</v>
      </c>
      <c r="E15" s="4">
        <v>7081</v>
      </c>
      <c r="F15" s="4">
        <v>7431</v>
      </c>
      <c r="G15" s="4">
        <v>8937</v>
      </c>
      <c r="H15" s="4">
        <f t="shared" ref="H15:H17" si="0">(C15+D15+E15+F15+G15)/5</f>
        <v>7125.8</v>
      </c>
      <c r="I15" s="4">
        <f t="shared" ref="I15:I17" si="1">E15</f>
        <v>7081</v>
      </c>
      <c r="J15" s="8">
        <f t="shared" ref="J15:J17" si="2">(((C15-H15)^2 +(D15-H15)^2 + (E15-H15)^2 + (F15-H15)^2 + (G15-H15)^2)/5)^0.5</f>
        <v>1061.3910495194502</v>
      </c>
    </row>
    <row r="16" spans="2:10" ht="15" thickBot="1" x14ac:dyDescent="0.4">
      <c r="B16" s="3">
        <v>5</v>
      </c>
      <c r="C16" s="4">
        <v>5286</v>
      </c>
      <c r="D16" s="4">
        <v>6108</v>
      </c>
      <c r="E16" s="4">
        <v>6997</v>
      </c>
      <c r="F16" s="4">
        <v>7324</v>
      </c>
      <c r="G16" s="4">
        <v>8798</v>
      </c>
      <c r="H16" s="4">
        <f t="shared" si="0"/>
        <v>6902.6</v>
      </c>
      <c r="I16" s="4">
        <f t="shared" si="1"/>
        <v>6997</v>
      </c>
      <c r="J16" s="8">
        <f t="shared" si="2"/>
        <v>1185.2269993549758</v>
      </c>
    </row>
    <row r="17" spans="2:10" ht="15" thickBot="1" x14ac:dyDescent="0.4">
      <c r="B17" s="3">
        <v>4</v>
      </c>
      <c r="C17" s="4">
        <v>5429</v>
      </c>
      <c r="D17" s="4">
        <v>6327</v>
      </c>
      <c r="E17" s="4">
        <v>6384</v>
      </c>
      <c r="F17" s="4">
        <v>6737</v>
      </c>
      <c r="G17" s="4">
        <v>7319</v>
      </c>
      <c r="H17" s="4">
        <f t="shared" si="0"/>
        <v>6439.2</v>
      </c>
      <c r="I17" s="4">
        <f t="shared" si="1"/>
        <v>6384</v>
      </c>
      <c r="J17" s="8">
        <f t="shared" si="2"/>
        <v>616.25851718252136</v>
      </c>
    </row>
  </sheetData>
  <mergeCells count="1">
    <mergeCell ref="B12:J12"/>
  </mergeCells>
  <hyperlinks>
    <hyperlink ref="B8" r:id="rId1" xr:uid="{6630652B-D2FD-42FC-A773-1E619EF7FAC9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Ashiq Ali</dc:creator>
  <cp:lastModifiedBy>Ashiq Ali</cp:lastModifiedBy>
  <dcterms:created xsi:type="dcterms:W3CDTF">2020-02-04T01:37:57Z</dcterms:created>
  <dcterms:modified xsi:type="dcterms:W3CDTF">2020-02-04T01:43:47Z</dcterms:modified>
</cp:coreProperties>
</file>