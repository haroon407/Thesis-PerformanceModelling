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6288fdc37c592/Desktop/"/>
    </mc:Choice>
  </mc:AlternateContent>
  <xr:revisionPtr revIDLastSave="67" documentId="8_{E7AF5B1C-3C40-4F54-8672-4298D5232D3B}" xr6:coauthVersionLast="45" xr6:coauthVersionMax="45" xr10:uidLastSave="{0076D598-F74A-4BD0-9382-1D7C85F11346}"/>
  <bookViews>
    <workbookView xWindow="-110" yWindow="-110" windowWidth="21820" windowHeight="14020" xr2:uid="{BCFD14E7-40D3-46A7-B2D9-7C6E22642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6" i="1" l="1"/>
  <c r="H76" i="1"/>
  <c r="J76" i="1" s="1"/>
  <c r="H64" i="1"/>
  <c r="J64" i="1" s="1"/>
  <c r="I64" i="1"/>
  <c r="J52" i="1"/>
  <c r="I52" i="1"/>
  <c r="H52" i="1"/>
  <c r="J40" i="1"/>
  <c r="I40" i="1"/>
  <c r="H40" i="1"/>
  <c r="J28" i="1"/>
  <c r="H28" i="1"/>
  <c r="I28" i="1"/>
  <c r="I14" i="1"/>
  <c r="H14" i="1"/>
  <c r="J14" i="1" s="1"/>
</calcChain>
</file>

<file path=xl/sharedStrings.xml><?xml version="1.0" encoding="utf-8"?>
<sst xmlns="http://schemas.openxmlformats.org/spreadsheetml/2006/main" count="57" uniqueCount="19">
  <si>
    <t>Solo v.s Kafka v.s Raft (All times in milliseconds)</t>
  </si>
  <si>
    <t>Time to order transactions</t>
  </si>
  <si>
    <t>Configurations:</t>
  </si>
  <si>
    <t>50 invoke proposals</t>
  </si>
  <si>
    <t>batchTimeout: 20s</t>
  </si>
  <si>
    <t>batchSize: 10</t>
  </si>
  <si>
    <t>Solo</t>
  </si>
  <si>
    <t>mean</t>
  </si>
  <si>
    <t>median</t>
  </si>
  <si>
    <t>std.dev</t>
  </si>
  <si>
    <t>Orderers: 1 (Hardware limitations)</t>
  </si>
  <si>
    <t>zooKeepers: 3</t>
  </si>
  <si>
    <t>KafkaNodes: 4</t>
  </si>
  <si>
    <t>Kafka</t>
  </si>
  <si>
    <t>Orderers: 2 (To compare with Kafka - unable to run on a single orderer)</t>
  </si>
  <si>
    <t>Raft</t>
  </si>
  <si>
    <t>Orderers: 3</t>
  </si>
  <si>
    <t>Orderers: 5</t>
  </si>
  <si>
    <t>Orderers: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</si>
</sst>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2" fontId="1" fillId="0" borderId="5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0B6D-8A8B-4974-B4DB-EBDB9D036715}">
  <dimension ref="B2:J76"/>
  <sheetViews>
    <sheetView tabSelected="1" topLeftCell="A55" workbookViewId="0">
      <selection activeCell="I87" sqref="I87"/>
    </sheetView>
  </sheetViews>
  <sheetFormatPr defaultRowHeight="14.5" x14ac:dyDescent="0.35"/>
  <cols>
    <col min="10" max="10" width="12.26953125" bestFit="1" customWidth="1"/>
  </cols>
  <sheetData>
    <row r="2" spans="2:10" x14ac:dyDescent="0.35">
      <c r="B2" s="2" t="s">
        <v>0</v>
      </c>
    </row>
    <row r="4" spans="2:10" x14ac:dyDescent="0.35">
      <c r="B4" s="2" t="s">
        <v>1</v>
      </c>
    </row>
    <row r="5" spans="2:10" x14ac:dyDescent="0.35">
      <c r="B5" s="1"/>
    </row>
    <row r="6" spans="2:10" x14ac:dyDescent="0.35">
      <c r="B6" s="2" t="s">
        <v>2</v>
      </c>
    </row>
    <row r="7" spans="2:10" x14ac:dyDescent="0.35">
      <c r="B7" s="2" t="s">
        <v>3</v>
      </c>
    </row>
    <row r="8" spans="2:10" x14ac:dyDescent="0.35">
      <c r="B8" s="2" t="s">
        <v>4</v>
      </c>
    </row>
    <row r="9" spans="2:10" x14ac:dyDescent="0.35">
      <c r="B9" s="2" t="s">
        <v>5</v>
      </c>
    </row>
    <row r="12" spans="2:10" x14ac:dyDescent="0.35">
      <c r="C12" s="8" t="s">
        <v>6</v>
      </c>
      <c r="D12" s="8"/>
      <c r="E12" s="8"/>
      <c r="F12" s="8"/>
      <c r="G12" s="8"/>
      <c r="H12" s="8"/>
      <c r="I12" s="8"/>
      <c r="J12" s="8"/>
    </row>
    <row r="13" spans="2:10" x14ac:dyDescent="0.35"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 t="s">
        <v>7</v>
      </c>
      <c r="I13" s="9" t="s">
        <v>8</v>
      </c>
      <c r="J13" s="9" t="s">
        <v>9</v>
      </c>
    </row>
    <row r="14" spans="2:10" x14ac:dyDescent="0.35">
      <c r="C14" s="9">
        <v>12.67</v>
      </c>
      <c r="D14" s="9">
        <v>15.928000000000001</v>
      </c>
      <c r="E14" s="9">
        <v>23.373000000000001</v>
      </c>
      <c r="F14" s="9">
        <v>42.566000000000003</v>
      </c>
      <c r="G14" s="9">
        <v>76.801000000000002</v>
      </c>
      <c r="H14" s="9">
        <f>(C14+D14+E14+F14+G14)/5</f>
        <v>34.267600000000002</v>
      </c>
      <c r="I14" s="9">
        <f>E14</f>
        <v>23.373000000000001</v>
      </c>
      <c r="J14" s="11">
        <f>(((C14-H14)^2 +(D14-H14)^2 + (E14-H14)^2 + (F14-H14)^2 + (G14-H14)^2)/5)^0.5</f>
        <v>23.661965772944562</v>
      </c>
    </row>
    <row r="17" spans="3:10" x14ac:dyDescent="0.35">
      <c r="C17" s="2" t="s">
        <v>2</v>
      </c>
    </row>
    <row r="18" spans="3:10" x14ac:dyDescent="0.35">
      <c r="C18" s="2" t="s">
        <v>3</v>
      </c>
    </row>
    <row r="19" spans="3:10" x14ac:dyDescent="0.35">
      <c r="C19" s="2" t="s">
        <v>4</v>
      </c>
    </row>
    <row r="20" spans="3:10" x14ac:dyDescent="0.35">
      <c r="C20" s="2" t="s">
        <v>5</v>
      </c>
    </row>
    <row r="21" spans="3:10" x14ac:dyDescent="0.35">
      <c r="C21" s="2" t="s">
        <v>10</v>
      </c>
    </row>
    <row r="22" spans="3:10" x14ac:dyDescent="0.35">
      <c r="C22" s="2" t="s">
        <v>11</v>
      </c>
    </row>
    <row r="23" spans="3:10" x14ac:dyDescent="0.35">
      <c r="C23" s="2" t="s">
        <v>12</v>
      </c>
    </row>
    <row r="25" spans="3:10" ht="15" thickBot="1" x14ac:dyDescent="0.4"/>
    <row r="26" spans="3:10" ht="15" thickBot="1" x14ac:dyDescent="0.4">
      <c r="C26" s="5" t="s">
        <v>13</v>
      </c>
      <c r="D26" s="6"/>
      <c r="E26" s="6"/>
      <c r="F26" s="6"/>
      <c r="G26" s="6"/>
      <c r="H26" s="6"/>
      <c r="I26" s="6"/>
      <c r="J26" s="7"/>
    </row>
    <row r="27" spans="3:10" ht="15" thickBot="1" x14ac:dyDescent="0.4">
      <c r="C27" s="10">
        <v>1</v>
      </c>
      <c r="D27" s="3">
        <v>2</v>
      </c>
      <c r="E27" s="3">
        <v>3</v>
      </c>
      <c r="F27" s="3">
        <v>4</v>
      </c>
      <c r="G27" s="3">
        <v>5</v>
      </c>
      <c r="H27" s="3" t="s">
        <v>7</v>
      </c>
      <c r="I27" s="3" t="s">
        <v>8</v>
      </c>
      <c r="J27" s="3" t="s">
        <v>9</v>
      </c>
    </row>
    <row r="28" spans="3:10" ht="15" thickBot="1" x14ac:dyDescent="0.4">
      <c r="C28" s="10">
        <v>29.209</v>
      </c>
      <c r="D28" s="3">
        <v>31.462</v>
      </c>
      <c r="E28" s="3">
        <v>32.755000000000003</v>
      </c>
      <c r="F28" s="3">
        <v>36.969000000000001</v>
      </c>
      <c r="G28" s="3">
        <v>48.802999999999997</v>
      </c>
      <c r="H28" s="3">
        <f>(C28+D28+E28+F28+G28)/5</f>
        <v>35.839600000000004</v>
      </c>
      <c r="I28" s="3">
        <f>E28</f>
        <v>32.755000000000003</v>
      </c>
      <c r="J28" s="12">
        <f>(((C28-H28)^2 +(D28-H28)^2 + (E28-H28)^2 + (F28-H28)^2 + (G28-H28)^2)/5)^0.5</f>
        <v>6.9565548829862607</v>
      </c>
    </row>
    <row r="31" spans="3:10" x14ac:dyDescent="0.35">
      <c r="C31" s="2" t="s">
        <v>2</v>
      </c>
    </row>
    <row r="32" spans="3:10" x14ac:dyDescent="0.35">
      <c r="C32" s="2" t="s">
        <v>3</v>
      </c>
    </row>
    <row r="33" spans="3:10" x14ac:dyDescent="0.35">
      <c r="C33" s="2" t="s">
        <v>4</v>
      </c>
    </row>
    <row r="34" spans="3:10" x14ac:dyDescent="0.35">
      <c r="C34" s="2" t="s">
        <v>5</v>
      </c>
    </row>
    <row r="35" spans="3:10" x14ac:dyDescent="0.35">
      <c r="C35" s="2" t="s">
        <v>14</v>
      </c>
    </row>
    <row r="37" spans="3:10" ht="15" thickBot="1" x14ac:dyDescent="0.4"/>
    <row r="38" spans="3:10" ht="15" thickBot="1" x14ac:dyDescent="0.4">
      <c r="C38" s="5" t="s">
        <v>15</v>
      </c>
      <c r="D38" s="6"/>
      <c r="E38" s="6"/>
      <c r="F38" s="6"/>
      <c r="G38" s="6"/>
      <c r="H38" s="6"/>
      <c r="I38" s="6"/>
      <c r="J38" s="7"/>
    </row>
    <row r="39" spans="3:10" ht="15" thickBot="1" x14ac:dyDescent="0.4">
      <c r="C39" s="10">
        <v>1</v>
      </c>
      <c r="D39" s="3">
        <v>2</v>
      </c>
      <c r="E39" s="3">
        <v>3</v>
      </c>
      <c r="F39" s="3">
        <v>4</v>
      </c>
      <c r="G39" s="3">
        <v>5</v>
      </c>
      <c r="H39" s="3" t="s">
        <v>7</v>
      </c>
      <c r="I39" s="3" t="s">
        <v>8</v>
      </c>
      <c r="J39" s="3" t="s">
        <v>9</v>
      </c>
    </row>
    <row r="40" spans="3:10" ht="15" thickBot="1" x14ac:dyDescent="0.4">
      <c r="C40" s="10">
        <v>4.4649999999999999</v>
      </c>
      <c r="D40" s="3">
        <v>6.8780000000000001</v>
      </c>
      <c r="E40" s="3">
        <v>8.8620000000000001</v>
      </c>
      <c r="F40" s="3">
        <v>9.1110000000000007</v>
      </c>
      <c r="G40" s="3">
        <v>14.25</v>
      </c>
      <c r="H40" s="3">
        <f>(C40+D40+E40+F40+G40)/5</f>
        <v>8.7132000000000005</v>
      </c>
      <c r="I40" s="3">
        <f>E40</f>
        <v>8.8620000000000001</v>
      </c>
      <c r="J40" s="12">
        <f>(((C40-H40)^2 +(D40-H40)^2 + (E40-H40)^2 + (F40-H40)^2 + (G40-H40)^2)/5)^0.5</f>
        <v>3.2326986497352332</v>
      </c>
    </row>
    <row r="43" spans="3:10" x14ac:dyDescent="0.35">
      <c r="C43" s="2" t="s">
        <v>2</v>
      </c>
    </row>
    <row r="44" spans="3:10" x14ac:dyDescent="0.35">
      <c r="C44" s="2" t="s">
        <v>3</v>
      </c>
    </row>
    <row r="45" spans="3:10" x14ac:dyDescent="0.35">
      <c r="C45" s="2" t="s">
        <v>4</v>
      </c>
    </row>
    <row r="46" spans="3:10" x14ac:dyDescent="0.35">
      <c r="C46" s="2" t="s">
        <v>5</v>
      </c>
    </row>
    <row r="47" spans="3:10" x14ac:dyDescent="0.35">
      <c r="C47" s="2" t="s">
        <v>16</v>
      </c>
    </row>
    <row r="49" spans="3:10" ht="15" thickBot="1" x14ac:dyDescent="0.4"/>
    <row r="50" spans="3:10" ht="15" thickBot="1" x14ac:dyDescent="0.4">
      <c r="C50" s="5" t="s">
        <v>15</v>
      </c>
      <c r="D50" s="6"/>
      <c r="E50" s="6"/>
      <c r="F50" s="6"/>
      <c r="G50" s="6"/>
      <c r="H50" s="6"/>
      <c r="I50" s="6"/>
      <c r="J50" s="7"/>
    </row>
    <row r="51" spans="3:10" ht="15" thickBot="1" x14ac:dyDescent="0.4">
      <c r="C51" s="10">
        <v>1</v>
      </c>
      <c r="D51" s="3">
        <v>2</v>
      </c>
      <c r="E51" s="3">
        <v>3</v>
      </c>
      <c r="F51" s="3">
        <v>4</v>
      </c>
      <c r="G51" s="3">
        <v>5</v>
      </c>
      <c r="H51" s="3" t="s">
        <v>7</v>
      </c>
      <c r="I51" s="3" t="s">
        <v>8</v>
      </c>
      <c r="J51" s="3" t="s">
        <v>9</v>
      </c>
    </row>
    <row r="52" spans="3:10" ht="15" thickBot="1" x14ac:dyDescent="0.4">
      <c r="C52" s="10">
        <v>5.72</v>
      </c>
      <c r="D52" s="3">
        <v>7.42</v>
      </c>
      <c r="E52" s="3">
        <v>7.883</v>
      </c>
      <c r="F52" s="3">
        <v>9.234</v>
      </c>
      <c r="G52" s="3">
        <v>14.337</v>
      </c>
      <c r="H52" s="3">
        <f>(C52+D52+E52+F52+G52)/5</f>
        <v>8.9187999999999992</v>
      </c>
      <c r="I52" s="3">
        <f>E52</f>
        <v>7.883</v>
      </c>
      <c r="J52" s="12">
        <f>(((C52-H52)^2 +(D52-H52)^2 + (E52-H52)^2 + (F52-H52)^2 + (G52-H52)^2)/5)^0.5</f>
        <v>2.9328432211763382</v>
      </c>
    </row>
    <row r="55" spans="3:10" x14ac:dyDescent="0.35">
      <c r="C55" s="2" t="s">
        <v>2</v>
      </c>
    </row>
    <row r="56" spans="3:10" x14ac:dyDescent="0.35">
      <c r="C56" s="2" t="s">
        <v>3</v>
      </c>
    </row>
    <row r="57" spans="3:10" x14ac:dyDescent="0.35">
      <c r="C57" s="2" t="s">
        <v>4</v>
      </c>
    </row>
    <row r="58" spans="3:10" x14ac:dyDescent="0.35">
      <c r="C58" s="2" t="s">
        <v>5</v>
      </c>
    </row>
    <row r="59" spans="3:10" x14ac:dyDescent="0.35">
      <c r="C59" s="4" t="s">
        <v>17</v>
      </c>
    </row>
    <row r="61" spans="3:10" ht="15" thickBot="1" x14ac:dyDescent="0.4"/>
    <row r="62" spans="3:10" ht="15" thickBot="1" x14ac:dyDescent="0.4">
      <c r="C62" s="5" t="s">
        <v>15</v>
      </c>
      <c r="D62" s="6"/>
      <c r="E62" s="6"/>
      <c r="F62" s="6"/>
      <c r="G62" s="6"/>
      <c r="H62" s="6"/>
      <c r="I62" s="6"/>
      <c r="J62" s="7"/>
    </row>
    <row r="63" spans="3:10" ht="15" thickBot="1" x14ac:dyDescent="0.4">
      <c r="C63" s="10">
        <v>1</v>
      </c>
      <c r="D63" s="3">
        <v>2</v>
      </c>
      <c r="E63" s="3">
        <v>3</v>
      </c>
      <c r="F63" s="3">
        <v>4</v>
      </c>
      <c r="G63" s="3">
        <v>5</v>
      </c>
      <c r="H63" s="3" t="s">
        <v>7</v>
      </c>
      <c r="I63" s="3" t="s">
        <v>8</v>
      </c>
      <c r="J63" s="3" t="s">
        <v>9</v>
      </c>
    </row>
    <row r="64" spans="3:10" ht="15" thickBot="1" x14ac:dyDescent="0.4">
      <c r="C64" s="10">
        <v>4.4219999999999997</v>
      </c>
      <c r="D64" s="3">
        <v>7.516</v>
      </c>
      <c r="E64" s="3">
        <v>8.0299999999999994</v>
      </c>
      <c r="F64" s="3">
        <v>11.118</v>
      </c>
      <c r="G64" s="3">
        <v>11.943</v>
      </c>
      <c r="H64" s="3">
        <f>(C64+D64+E64+F64+G64)/5</f>
        <v>8.6057999999999986</v>
      </c>
      <c r="I64" s="3">
        <f>E64</f>
        <v>8.0299999999999994</v>
      </c>
      <c r="J64" s="12">
        <f>(((C64-H64)^2 +(D64-H64)^2 + (E64-H64)^2 + (F64-H64)^2 + (G64-H64)^2)/5)^0.5</f>
        <v>2.7007941350647222</v>
      </c>
    </row>
    <row r="67" spans="3:10" x14ac:dyDescent="0.35">
      <c r="C67" s="2" t="s">
        <v>2</v>
      </c>
    </row>
    <row r="68" spans="3:10" x14ac:dyDescent="0.35">
      <c r="C68" s="2" t="s">
        <v>3</v>
      </c>
    </row>
    <row r="69" spans="3:10" x14ac:dyDescent="0.35">
      <c r="C69" s="2" t="s">
        <v>4</v>
      </c>
    </row>
    <row r="70" spans="3:10" x14ac:dyDescent="0.35">
      <c r="C70" s="2" t="s">
        <v>5</v>
      </c>
    </row>
    <row r="71" spans="3:10" x14ac:dyDescent="0.35">
      <c r="C71" s="2" t="s">
        <v>18</v>
      </c>
    </row>
    <row r="73" spans="3:10" ht="15" thickBot="1" x14ac:dyDescent="0.4"/>
    <row r="74" spans="3:10" ht="15" thickBot="1" x14ac:dyDescent="0.4">
      <c r="C74" s="5" t="s">
        <v>15</v>
      </c>
      <c r="D74" s="6"/>
      <c r="E74" s="6"/>
      <c r="F74" s="6"/>
      <c r="G74" s="6"/>
      <c r="H74" s="6"/>
      <c r="I74" s="6"/>
      <c r="J74" s="7"/>
    </row>
    <row r="75" spans="3:10" ht="15" thickBot="1" x14ac:dyDescent="0.4">
      <c r="C75" s="10">
        <v>1</v>
      </c>
      <c r="D75" s="3">
        <v>2</v>
      </c>
      <c r="E75" s="3">
        <v>3</v>
      </c>
      <c r="F75" s="3">
        <v>4</v>
      </c>
      <c r="G75" s="3">
        <v>5</v>
      </c>
      <c r="H75" s="3" t="s">
        <v>7</v>
      </c>
      <c r="I75" s="3" t="s">
        <v>8</v>
      </c>
      <c r="J75" s="3" t="s">
        <v>9</v>
      </c>
    </row>
    <row r="76" spans="3:10" ht="15" thickBot="1" x14ac:dyDescent="0.4">
      <c r="C76" s="10">
        <v>4.8120000000000003</v>
      </c>
      <c r="D76" s="3">
        <v>7.8109999999999999</v>
      </c>
      <c r="E76" s="3">
        <v>10.477</v>
      </c>
      <c r="F76" s="3">
        <v>10.308999999999999</v>
      </c>
      <c r="G76" s="3">
        <v>10.769</v>
      </c>
      <c r="H76" s="3">
        <f>(C76+D76+E76+F76+G76)/5</f>
        <v>8.8355999999999995</v>
      </c>
      <c r="I76" s="3">
        <f>E76</f>
        <v>10.477</v>
      </c>
      <c r="J76" s="12">
        <f>(((C76-H76)^2 +(D76-H76)^2 + (E76-H76)^2 + (F76-H76)^2 + (G76-H76)^2)/5)^0.5</f>
        <v>2.2734246941563732</v>
      </c>
    </row>
  </sheetData>
  <mergeCells count="6">
    <mergeCell ref="C12:J12"/>
    <mergeCell ref="C26:J26"/>
    <mergeCell ref="C38:J38"/>
    <mergeCell ref="C50:J50"/>
    <mergeCell ref="C62:J62"/>
    <mergeCell ref="C74:J7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 Ali</dc:creator>
  <cp:lastModifiedBy>Ashiq Ali</cp:lastModifiedBy>
  <dcterms:created xsi:type="dcterms:W3CDTF">2020-02-04T01:27:22Z</dcterms:created>
  <dcterms:modified xsi:type="dcterms:W3CDTF">2020-02-04T01:36:59Z</dcterms:modified>
</cp:coreProperties>
</file>