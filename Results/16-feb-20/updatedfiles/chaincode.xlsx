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ha Ch\OneDrive\Desktop\"/>
    </mc:Choice>
  </mc:AlternateContent>
  <xr:revisionPtr revIDLastSave="26" documentId="8_{7065FAB7-F9D5-4E7C-AE0B-2EFE0421DBE4}" xr6:coauthVersionLast="45" xr6:coauthVersionMax="45" xr10:uidLastSave="{491AB098-F473-42E7-B142-13643C97E8C9}"/>
  <bookViews>
    <workbookView xWindow="5400" yWindow="2120" windowWidth="16200" windowHeight="10060" xr2:uid="{D89476C4-9BA7-4CC3-9A71-EDDE2C03D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59" i="1" l="1"/>
  <c r="H359" i="1"/>
  <c r="J287" i="1"/>
  <c r="H287" i="1"/>
  <c r="J215" i="1"/>
  <c r="H215" i="1"/>
  <c r="H143" i="1"/>
  <c r="J143" i="1" s="1"/>
  <c r="H355" i="1" l="1"/>
  <c r="H356" i="1"/>
  <c r="J356" i="1" s="1"/>
  <c r="H357" i="1"/>
  <c r="J357" i="1" s="1"/>
  <c r="H358" i="1"/>
  <c r="J358" i="1" s="1"/>
  <c r="H354" i="1"/>
  <c r="J354" i="1" s="1"/>
  <c r="I355" i="1"/>
  <c r="I356" i="1"/>
  <c r="I357" i="1"/>
  <c r="I358" i="1"/>
  <c r="I359" i="1"/>
  <c r="I354" i="1"/>
  <c r="H345" i="1"/>
  <c r="H346" i="1"/>
  <c r="H347" i="1"/>
  <c r="H348" i="1"/>
  <c r="J348" i="1" s="1"/>
  <c r="H349" i="1"/>
  <c r="H344" i="1"/>
  <c r="J344" i="1" s="1"/>
  <c r="H335" i="1"/>
  <c r="H336" i="1"/>
  <c r="H337" i="1"/>
  <c r="J337" i="1" s="1"/>
  <c r="H338" i="1"/>
  <c r="J338" i="1" s="1"/>
  <c r="H339" i="1"/>
  <c r="H334" i="1"/>
  <c r="I345" i="1"/>
  <c r="I346" i="1"/>
  <c r="I347" i="1"/>
  <c r="I348" i="1"/>
  <c r="I349" i="1"/>
  <c r="I344" i="1"/>
  <c r="I335" i="1"/>
  <c r="I336" i="1"/>
  <c r="I337" i="1"/>
  <c r="I338" i="1"/>
  <c r="I339" i="1"/>
  <c r="I334" i="1"/>
  <c r="I325" i="1"/>
  <c r="I326" i="1"/>
  <c r="I327" i="1"/>
  <c r="I328" i="1"/>
  <c r="I329" i="1"/>
  <c r="I324" i="1"/>
  <c r="H325" i="1"/>
  <c r="H326" i="1"/>
  <c r="H327" i="1"/>
  <c r="H328" i="1"/>
  <c r="H329" i="1"/>
  <c r="H324" i="1"/>
  <c r="H315" i="1"/>
  <c r="H316" i="1"/>
  <c r="H317" i="1"/>
  <c r="H318" i="1"/>
  <c r="H319" i="1"/>
  <c r="H314" i="1"/>
  <c r="J314" i="1"/>
  <c r="H305" i="1"/>
  <c r="H306" i="1"/>
  <c r="H307" i="1"/>
  <c r="J307" i="1" s="1"/>
  <c r="H308" i="1"/>
  <c r="J308" i="1" s="1"/>
  <c r="H309" i="1"/>
  <c r="H304" i="1"/>
  <c r="J304" i="1" s="1"/>
  <c r="H295" i="1"/>
  <c r="H296" i="1"/>
  <c r="H297" i="1"/>
  <c r="H298" i="1"/>
  <c r="H299" i="1"/>
  <c r="H294" i="1"/>
  <c r="J294" i="1" s="1"/>
  <c r="I315" i="1"/>
  <c r="I316" i="1"/>
  <c r="I317" i="1"/>
  <c r="I318" i="1"/>
  <c r="I319" i="1"/>
  <c r="I314" i="1"/>
  <c r="I305" i="1"/>
  <c r="I306" i="1"/>
  <c r="I307" i="1"/>
  <c r="I308" i="1"/>
  <c r="I309" i="1"/>
  <c r="I304" i="1"/>
  <c r="I295" i="1"/>
  <c r="I296" i="1"/>
  <c r="I297" i="1"/>
  <c r="I298" i="1"/>
  <c r="I299" i="1"/>
  <c r="I294" i="1"/>
  <c r="H283" i="1"/>
  <c r="H284" i="1"/>
  <c r="H285" i="1"/>
  <c r="H286" i="1"/>
  <c r="J286" i="1" s="1"/>
  <c r="H282" i="1"/>
  <c r="H273" i="1"/>
  <c r="H274" i="1"/>
  <c r="H275" i="1"/>
  <c r="H276" i="1"/>
  <c r="J276" i="1" s="1"/>
  <c r="H277" i="1"/>
  <c r="H272" i="1"/>
  <c r="J272" i="1" s="1"/>
  <c r="I283" i="1"/>
  <c r="I284" i="1"/>
  <c r="I285" i="1"/>
  <c r="I286" i="1"/>
  <c r="I287" i="1"/>
  <c r="I282" i="1"/>
  <c r="I273" i="1"/>
  <c r="I274" i="1"/>
  <c r="I275" i="1"/>
  <c r="I276" i="1"/>
  <c r="I277" i="1"/>
  <c r="I272" i="1"/>
  <c r="H263" i="1"/>
  <c r="H264" i="1"/>
  <c r="H265" i="1"/>
  <c r="H266" i="1"/>
  <c r="H267" i="1"/>
  <c r="H262" i="1"/>
  <c r="J262" i="1" s="1"/>
  <c r="I263" i="1"/>
  <c r="I264" i="1"/>
  <c r="I265" i="1"/>
  <c r="I266" i="1"/>
  <c r="I267" i="1"/>
  <c r="I262" i="1"/>
  <c r="I253" i="1"/>
  <c r="I254" i="1"/>
  <c r="I255" i="1"/>
  <c r="I256" i="1"/>
  <c r="I257" i="1"/>
  <c r="I252" i="1"/>
  <c r="H253" i="1"/>
  <c r="H254" i="1"/>
  <c r="H255" i="1"/>
  <c r="J255" i="1" s="1"/>
  <c r="H256" i="1"/>
  <c r="J256" i="1" s="1"/>
  <c r="H257" i="1"/>
  <c r="H252" i="1"/>
  <c r="I243" i="1"/>
  <c r="I244" i="1"/>
  <c r="I245" i="1"/>
  <c r="I246" i="1"/>
  <c r="I247" i="1"/>
  <c r="I242" i="1"/>
  <c r="H243" i="1"/>
  <c r="H244" i="1"/>
  <c r="H245" i="1"/>
  <c r="H246" i="1"/>
  <c r="J246" i="1" s="1"/>
  <c r="H247" i="1"/>
  <c r="H242" i="1"/>
  <c r="I233" i="1"/>
  <c r="I234" i="1"/>
  <c r="I235" i="1"/>
  <c r="I236" i="1"/>
  <c r="I237" i="1"/>
  <c r="I232" i="1"/>
  <c r="H233" i="1"/>
  <c r="H234" i="1"/>
  <c r="J234" i="1" s="1"/>
  <c r="H235" i="1"/>
  <c r="J235" i="1" s="1"/>
  <c r="H236" i="1"/>
  <c r="J236" i="1" s="1"/>
  <c r="H237" i="1"/>
  <c r="H232" i="1"/>
  <c r="H222" i="1"/>
  <c r="I223" i="1"/>
  <c r="I224" i="1"/>
  <c r="I225" i="1"/>
  <c r="I226" i="1"/>
  <c r="I227" i="1"/>
  <c r="I222" i="1"/>
  <c r="H223" i="1"/>
  <c r="H224" i="1"/>
  <c r="H225" i="1"/>
  <c r="H226" i="1"/>
  <c r="H227" i="1"/>
  <c r="J222" i="1"/>
  <c r="I211" i="1"/>
  <c r="I212" i="1"/>
  <c r="I213" i="1"/>
  <c r="I214" i="1"/>
  <c r="I215" i="1"/>
  <c r="I210" i="1"/>
  <c r="H211" i="1"/>
  <c r="H212" i="1"/>
  <c r="H213" i="1"/>
  <c r="H214" i="1"/>
  <c r="J214" i="1" s="1"/>
  <c r="H210" i="1"/>
  <c r="H200" i="1"/>
  <c r="H205" i="1"/>
  <c r="H201" i="1"/>
  <c r="H202" i="1"/>
  <c r="H203" i="1"/>
  <c r="H204" i="1"/>
  <c r="J204" i="1" s="1"/>
  <c r="J200" i="1"/>
  <c r="I201" i="1"/>
  <c r="I202" i="1"/>
  <c r="I203" i="1"/>
  <c r="I204" i="1"/>
  <c r="I205" i="1"/>
  <c r="I200" i="1"/>
  <c r="I191" i="1"/>
  <c r="I192" i="1"/>
  <c r="I193" i="1"/>
  <c r="I194" i="1"/>
  <c r="I195" i="1"/>
  <c r="H191" i="1"/>
  <c r="H192" i="1"/>
  <c r="H193" i="1"/>
  <c r="H194" i="1"/>
  <c r="J194" i="1" s="1"/>
  <c r="H195" i="1"/>
  <c r="I190" i="1"/>
  <c r="H190" i="1"/>
  <c r="J190" i="1" s="1"/>
  <c r="H181" i="1"/>
  <c r="H182" i="1"/>
  <c r="H183" i="1"/>
  <c r="H184" i="1"/>
  <c r="J184" i="1" s="1"/>
  <c r="H185" i="1"/>
  <c r="I181" i="1"/>
  <c r="I182" i="1"/>
  <c r="I183" i="1"/>
  <c r="I184" i="1"/>
  <c r="I185" i="1"/>
  <c r="I180" i="1"/>
  <c r="H180" i="1"/>
  <c r="J180" i="1" s="1"/>
  <c r="I171" i="1"/>
  <c r="I172" i="1"/>
  <c r="I173" i="1"/>
  <c r="I174" i="1"/>
  <c r="I175" i="1"/>
  <c r="H171" i="1"/>
  <c r="H172" i="1"/>
  <c r="H173" i="1"/>
  <c r="J173" i="1" s="1"/>
  <c r="H174" i="1"/>
  <c r="J174" i="1" s="1"/>
  <c r="H175" i="1"/>
  <c r="I170" i="1"/>
  <c r="H170" i="1"/>
  <c r="H161" i="1"/>
  <c r="H162" i="1"/>
  <c r="H163" i="1"/>
  <c r="H164" i="1"/>
  <c r="J164" i="1" s="1"/>
  <c r="H165" i="1"/>
  <c r="H160" i="1"/>
  <c r="I161" i="1"/>
  <c r="I162" i="1"/>
  <c r="I163" i="1"/>
  <c r="I164" i="1"/>
  <c r="I165" i="1"/>
  <c r="I160" i="1"/>
  <c r="I151" i="1"/>
  <c r="I152" i="1"/>
  <c r="I153" i="1"/>
  <c r="I154" i="1"/>
  <c r="I155" i="1"/>
  <c r="I150" i="1"/>
  <c r="H151" i="1"/>
  <c r="H152" i="1"/>
  <c r="H153" i="1"/>
  <c r="H154" i="1"/>
  <c r="J154" i="1" s="1"/>
  <c r="H155" i="1"/>
  <c r="H150" i="1"/>
  <c r="J150" i="1" s="1"/>
  <c r="H139" i="1"/>
  <c r="H140" i="1"/>
  <c r="H141" i="1"/>
  <c r="J141" i="1" s="1"/>
  <c r="H142" i="1"/>
  <c r="J142" i="1" s="1"/>
  <c r="H138" i="1"/>
  <c r="J138" i="1"/>
  <c r="I139" i="1"/>
  <c r="I140" i="1"/>
  <c r="I141" i="1"/>
  <c r="I142" i="1"/>
  <c r="I143" i="1"/>
  <c r="I138" i="1"/>
  <c r="I129" i="1"/>
  <c r="I130" i="1"/>
  <c r="I131" i="1"/>
  <c r="I132" i="1"/>
  <c r="I133" i="1"/>
  <c r="I128" i="1"/>
  <c r="H129" i="1"/>
  <c r="H130" i="1"/>
  <c r="J130" i="1" s="1"/>
  <c r="H131" i="1"/>
  <c r="J131" i="1" s="1"/>
  <c r="H132" i="1"/>
  <c r="J132" i="1" s="1"/>
  <c r="H133" i="1"/>
  <c r="H128" i="1"/>
  <c r="J128" i="1" s="1"/>
  <c r="H119" i="1"/>
  <c r="H120" i="1"/>
  <c r="J120" i="1" s="1"/>
  <c r="H121" i="1"/>
  <c r="J121" i="1" s="1"/>
  <c r="H122" i="1"/>
  <c r="J122" i="1" s="1"/>
  <c r="H123" i="1"/>
  <c r="I119" i="1"/>
  <c r="I120" i="1"/>
  <c r="I121" i="1"/>
  <c r="I122" i="1"/>
  <c r="I123" i="1"/>
  <c r="I118" i="1"/>
  <c r="H118" i="1"/>
  <c r="J118" i="1" s="1"/>
  <c r="H113" i="1"/>
  <c r="I109" i="1"/>
  <c r="I110" i="1"/>
  <c r="I111" i="1"/>
  <c r="I112" i="1"/>
  <c r="I113" i="1"/>
  <c r="I108" i="1"/>
  <c r="H109" i="1"/>
  <c r="H110" i="1"/>
  <c r="H111" i="1"/>
  <c r="H112" i="1"/>
  <c r="J112" i="1" s="1"/>
  <c r="H108" i="1"/>
  <c r="J108" i="1" s="1"/>
  <c r="H99" i="1"/>
  <c r="J99" i="1" s="1"/>
  <c r="H100" i="1"/>
  <c r="H101" i="1"/>
  <c r="H102" i="1"/>
  <c r="H103" i="1"/>
  <c r="J103" i="1" s="1"/>
  <c r="H98" i="1"/>
  <c r="J98" i="1" s="1"/>
  <c r="I99" i="1"/>
  <c r="I100" i="1"/>
  <c r="I101" i="1"/>
  <c r="I102" i="1"/>
  <c r="I103" i="1"/>
  <c r="I98" i="1"/>
  <c r="I89" i="1"/>
  <c r="I90" i="1"/>
  <c r="I91" i="1"/>
  <c r="I92" i="1"/>
  <c r="I93" i="1"/>
  <c r="I88" i="1"/>
  <c r="H89" i="1"/>
  <c r="H90" i="1"/>
  <c r="H91" i="1"/>
  <c r="H92" i="1"/>
  <c r="J92" i="1" s="1"/>
  <c r="H93" i="1"/>
  <c r="H88" i="1"/>
  <c r="J88" i="1" s="1"/>
  <c r="I79" i="1"/>
  <c r="I80" i="1"/>
  <c r="I81" i="1"/>
  <c r="I82" i="1"/>
  <c r="I83" i="1"/>
  <c r="I78" i="1"/>
  <c r="H79" i="1"/>
  <c r="H80" i="1"/>
  <c r="H81" i="1"/>
  <c r="J81" i="1" s="1"/>
  <c r="H82" i="1"/>
  <c r="J82" i="1" s="1"/>
  <c r="H83" i="1"/>
  <c r="H78" i="1"/>
  <c r="J78" i="1" s="1"/>
  <c r="J79" i="1"/>
  <c r="J80" i="1"/>
  <c r="J83" i="1"/>
  <c r="J89" i="1"/>
  <c r="J90" i="1"/>
  <c r="J91" i="1"/>
  <c r="J93" i="1"/>
  <c r="J100" i="1"/>
  <c r="J101" i="1"/>
  <c r="J102" i="1"/>
  <c r="J109" i="1"/>
  <c r="J110" i="1"/>
  <c r="J111" i="1"/>
  <c r="J113" i="1"/>
  <c r="J119" i="1"/>
  <c r="J123" i="1"/>
  <c r="J129" i="1"/>
  <c r="J133" i="1"/>
  <c r="J139" i="1"/>
  <c r="J140" i="1"/>
  <c r="J151" i="1"/>
  <c r="J152" i="1"/>
  <c r="J153" i="1"/>
  <c r="J155" i="1"/>
  <c r="J160" i="1"/>
  <c r="J161" i="1"/>
  <c r="J162" i="1"/>
  <c r="J163" i="1"/>
  <c r="J165" i="1"/>
  <c r="J170" i="1"/>
  <c r="J171" i="1"/>
  <c r="J172" i="1"/>
  <c r="J175" i="1"/>
  <c r="J181" i="1"/>
  <c r="J182" i="1"/>
  <c r="J183" i="1"/>
  <c r="J185" i="1"/>
  <c r="J191" i="1"/>
  <c r="J192" i="1"/>
  <c r="J193" i="1"/>
  <c r="J195" i="1"/>
  <c r="J201" i="1"/>
  <c r="J202" i="1"/>
  <c r="J203" i="1"/>
  <c r="J205" i="1"/>
  <c r="J210" i="1"/>
  <c r="J211" i="1"/>
  <c r="J212" i="1"/>
  <c r="J213" i="1"/>
  <c r="J223" i="1"/>
  <c r="J224" i="1"/>
  <c r="J225" i="1"/>
  <c r="J226" i="1"/>
  <c r="J227" i="1"/>
  <c r="J232" i="1"/>
  <c r="J233" i="1"/>
  <c r="J237" i="1"/>
  <c r="J242" i="1"/>
  <c r="J243" i="1"/>
  <c r="J244" i="1"/>
  <c r="J245" i="1"/>
  <c r="J247" i="1"/>
  <c r="J252" i="1"/>
  <c r="J253" i="1"/>
  <c r="J254" i="1"/>
  <c r="J257" i="1"/>
  <c r="J263" i="1"/>
  <c r="J264" i="1"/>
  <c r="J265" i="1"/>
  <c r="J266" i="1"/>
  <c r="J267" i="1"/>
  <c r="J273" i="1"/>
  <c r="J274" i="1"/>
  <c r="J275" i="1"/>
  <c r="J277" i="1"/>
  <c r="J282" i="1"/>
  <c r="J283" i="1"/>
  <c r="J284" i="1"/>
  <c r="J285" i="1"/>
  <c r="J295" i="1"/>
  <c r="J296" i="1"/>
  <c r="J297" i="1"/>
  <c r="J298" i="1"/>
  <c r="J299" i="1"/>
  <c r="J305" i="1"/>
  <c r="J306" i="1"/>
  <c r="J309" i="1"/>
  <c r="J315" i="1"/>
  <c r="J316" i="1"/>
  <c r="J317" i="1"/>
  <c r="J318" i="1"/>
  <c r="J319" i="1"/>
  <c r="J324" i="1"/>
  <c r="J325" i="1"/>
  <c r="J326" i="1"/>
  <c r="J327" i="1"/>
  <c r="J328" i="1"/>
  <c r="J329" i="1"/>
  <c r="J334" i="1"/>
  <c r="J335" i="1"/>
  <c r="J336" i="1"/>
  <c r="J339" i="1"/>
  <c r="J345" i="1"/>
  <c r="J346" i="1"/>
  <c r="J347" i="1"/>
  <c r="J349" i="1"/>
  <c r="J355" i="1"/>
  <c r="I68" i="1"/>
  <c r="I69" i="1"/>
  <c r="I70" i="1"/>
  <c r="I71" i="1"/>
  <c r="I72" i="1"/>
  <c r="I67" i="1"/>
  <c r="I58" i="1"/>
  <c r="I59" i="1"/>
  <c r="I60" i="1"/>
  <c r="I61" i="1"/>
  <c r="I62" i="1"/>
  <c r="I57" i="1"/>
  <c r="I48" i="1"/>
  <c r="I49" i="1"/>
  <c r="I50" i="1"/>
  <c r="I51" i="1"/>
  <c r="I52" i="1"/>
  <c r="I47" i="1"/>
  <c r="I38" i="1"/>
  <c r="I39" i="1"/>
  <c r="I40" i="1"/>
  <c r="I41" i="1"/>
  <c r="I42" i="1"/>
  <c r="I37" i="1"/>
  <c r="I28" i="1"/>
  <c r="I29" i="1"/>
  <c r="I30" i="1"/>
  <c r="I31" i="1"/>
  <c r="I32" i="1"/>
  <c r="I27" i="1"/>
  <c r="I18" i="1"/>
  <c r="I19" i="1"/>
  <c r="I20" i="1"/>
  <c r="I21" i="1"/>
  <c r="I22" i="1"/>
  <c r="I17" i="1"/>
  <c r="I8" i="1"/>
  <c r="I9" i="1"/>
  <c r="I10" i="1"/>
  <c r="I11" i="1"/>
  <c r="I12" i="1"/>
  <c r="I7" i="1"/>
  <c r="H68" i="1"/>
  <c r="H69" i="1"/>
  <c r="H70" i="1"/>
  <c r="J70" i="1" s="1"/>
  <c r="H71" i="1"/>
  <c r="J71" i="1" s="1"/>
  <c r="H72" i="1"/>
  <c r="H67" i="1"/>
  <c r="J67" i="1" s="1"/>
  <c r="H58" i="1"/>
  <c r="J58" i="1" s="1"/>
  <c r="H59" i="1"/>
  <c r="H60" i="1"/>
  <c r="H61" i="1"/>
  <c r="J61" i="1" s="1"/>
  <c r="H62" i="1"/>
  <c r="H57" i="1"/>
  <c r="J57" i="1" s="1"/>
  <c r="J59" i="1"/>
  <c r="J60" i="1"/>
  <c r="J62" i="1"/>
  <c r="J68" i="1"/>
  <c r="J69" i="1"/>
  <c r="J72" i="1"/>
  <c r="H48" i="1"/>
  <c r="J48" i="1" s="1"/>
  <c r="H49" i="1"/>
  <c r="J49" i="1" s="1"/>
  <c r="H50" i="1"/>
  <c r="J50" i="1" s="1"/>
  <c r="H51" i="1"/>
  <c r="J51" i="1" s="1"/>
  <c r="H52" i="1"/>
  <c r="J52" i="1" s="1"/>
  <c r="H47" i="1"/>
  <c r="J47" i="1" s="1"/>
  <c r="H38" i="1"/>
  <c r="H39" i="1"/>
  <c r="J39" i="1" s="1"/>
  <c r="H40" i="1"/>
  <c r="J40" i="1" s="1"/>
  <c r="H41" i="1"/>
  <c r="J41" i="1" s="1"/>
  <c r="H42" i="1"/>
  <c r="H37" i="1"/>
  <c r="J37" i="1" s="1"/>
  <c r="H28" i="1"/>
  <c r="J28" i="1" s="1"/>
  <c r="H29" i="1"/>
  <c r="H30" i="1"/>
  <c r="J30" i="1" s="1"/>
  <c r="H31" i="1"/>
  <c r="J31" i="1" s="1"/>
  <c r="H32" i="1"/>
  <c r="H27" i="1"/>
  <c r="J27" i="1" s="1"/>
  <c r="H18" i="1"/>
  <c r="J18" i="1" s="1"/>
  <c r="H19" i="1"/>
  <c r="J19" i="1" s="1"/>
  <c r="H20" i="1"/>
  <c r="J20" i="1" s="1"/>
  <c r="H21" i="1"/>
  <c r="J21" i="1" s="1"/>
  <c r="H22" i="1"/>
  <c r="J22" i="1" s="1"/>
  <c r="H17" i="1"/>
  <c r="J17" i="1" s="1"/>
  <c r="H7" i="1"/>
  <c r="J7" i="1" s="1"/>
  <c r="J38" i="1"/>
  <c r="J42" i="1"/>
  <c r="J29" i="1"/>
  <c r="J32" i="1"/>
  <c r="H8" i="1"/>
  <c r="J8" i="1" s="1"/>
  <c r="H9" i="1"/>
  <c r="J9" i="1" s="1"/>
  <c r="H10" i="1"/>
  <c r="J10" i="1" s="1"/>
  <c r="H11" i="1"/>
  <c r="J11" i="1" s="1"/>
  <c r="H12" i="1"/>
  <c r="J12" i="1" s="1"/>
</calcChain>
</file>

<file path=xl/sharedStrings.xml><?xml version="1.0" encoding="utf-8"?>
<sst xmlns="http://schemas.openxmlformats.org/spreadsheetml/2006/main" count="146" uniqueCount="18">
  <si>
    <t>O(1)</t>
  </si>
  <si>
    <t>mean</t>
  </si>
  <si>
    <t>median</t>
  </si>
  <si>
    <t>Standard deviation</t>
  </si>
  <si>
    <t>O(n)</t>
  </si>
  <si>
    <t>O(n^2)</t>
  </si>
  <si>
    <t>O(Log(n))</t>
  </si>
  <si>
    <t>O(nLog(n))</t>
  </si>
  <si>
    <t>O(2^n)</t>
  </si>
  <si>
    <t>O(n!)</t>
  </si>
  <si>
    <t>(All times in milliseconds)</t>
  </si>
  <si>
    <t>Java:</t>
  </si>
  <si>
    <t>(All times in milliseconds)
GOLang:</t>
  </si>
  <si>
    <t>O(log(n))</t>
  </si>
  <si>
    <t>O(nlog(n))</t>
  </si>
  <si>
    <t>(All times in milliseconds)
Javascript(actually Golang):</t>
  </si>
  <si>
    <t xml:space="preserve"> (All times in milliseconds)
Typescript:</t>
  </si>
  <si>
    <t>(All times in milliseconds)
Javascript: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</si>
</sst>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2" fontId="1" fillId="0" borderId="4" xfId="0" applyNumberFormat="1" applyFont="1" applyBorder="1" applyAlignment="1">
      <alignment vertical="center" wrapText="1"/>
    </xf>
    <xf numFmtId="2" fontId="1" fillId="0" borderId="4" xfId="0" applyNumberFormat="1" applyFont="1" applyBorder="1" applyAlignment="1">
      <alignment horizontal="right" vertical="center" wrapText="1"/>
    </xf>
    <xf numFmtId="2" fontId="1" fillId="0" borderId="7" xfId="0" applyNumberFormat="1" applyFont="1" applyBorder="1" applyAlignment="1">
      <alignment vertical="center" wrapText="1"/>
    </xf>
    <xf numFmtId="2" fontId="1" fillId="0" borderId="0" xfId="0" applyNumberFormat="1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2" fontId="1" fillId="0" borderId="8" xfId="0" applyNumberFormat="1" applyFont="1" applyBorder="1" applyAlignment="1">
      <alignment horizontal="right" vertical="center" wrapText="1"/>
    </xf>
    <xf numFmtId="0" fontId="1" fillId="0" borderId="0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2" fontId="1" fillId="0" borderId="0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5EB0-4D10-4BF0-A3EC-24F78F6FC99A}">
  <dimension ref="B2:P359"/>
  <sheetViews>
    <sheetView tabSelected="1" topLeftCell="B328" zoomScale="90" zoomScaleNormal="90" workbookViewId="0">
      <selection activeCell="I354" sqref="I354"/>
    </sheetView>
  </sheetViews>
  <sheetFormatPr defaultRowHeight="14.5" x14ac:dyDescent="0.35"/>
  <cols>
    <col min="2" max="2" width="24.36328125" bestFit="1" customWidth="1"/>
    <col min="10" max="10" width="12.453125" customWidth="1"/>
  </cols>
  <sheetData>
    <row r="2" spans="2:16" x14ac:dyDescent="0.35">
      <c r="B2" s="6" t="s">
        <v>10</v>
      </c>
    </row>
    <row r="3" spans="2:16" x14ac:dyDescent="0.35">
      <c r="B3" s="7" t="s">
        <v>11</v>
      </c>
    </row>
    <row r="4" spans="2:16" x14ac:dyDescent="0.35">
      <c r="B4" s="7"/>
      <c r="L4" s="14"/>
      <c r="M4" s="14"/>
      <c r="N4" s="14"/>
      <c r="O4" s="14"/>
      <c r="P4" s="14"/>
    </row>
    <row r="5" spans="2:16" x14ac:dyDescent="0.35">
      <c r="B5" s="22" t="s">
        <v>0</v>
      </c>
      <c r="C5" s="22"/>
      <c r="D5" s="22"/>
      <c r="E5" s="22"/>
      <c r="F5" s="22"/>
      <c r="G5" s="22"/>
      <c r="H5" s="1"/>
      <c r="I5" s="1"/>
      <c r="J5" s="1"/>
    </row>
    <row r="6" spans="2:16" ht="28" x14ac:dyDescent="0.35">
      <c r="B6" s="1"/>
      <c r="C6" s="1">
        <v>1</v>
      </c>
      <c r="D6" s="1">
        <v>2</v>
      </c>
      <c r="E6" s="1">
        <v>3</v>
      </c>
      <c r="F6" s="1">
        <v>4</v>
      </c>
      <c r="G6" s="1">
        <v>5</v>
      </c>
      <c r="H6" s="1" t="s">
        <v>1</v>
      </c>
      <c r="I6" s="1" t="s">
        <v>2</v>
      </c>
      <c r="J6" s="2" t="s">
        <v>3</v>
      </c>
    </row>
    <row r="7" spans="2:16" x14ac:dyDescent="0.35">
      <c r="B7" s="1">
        <v>10</v>
      </c>
      <c r="C7" s="1">
        <v>232</v>
      </c>
      <c r="D7" s="1">
        <v>319</v>
      </c>
      <c r="E7" s="1">
        <v>325</v>
      </c>
      <c r="F7" s="1">
        <v>419</v>
      </c>
      <c r="G7" s="1">
        <v>422</v>
      </c>
      <c r="H7" s="1">
        <f>(G7+F7+E7+D7+C7)/5</f>
        <v>343.4</v>
      </c>
      <c r="I7" s="1">
        <f>E7</f>
        <v>325</v>
      </c>
      <c r="J7" s="8">
        <f>(((C7-H7)^2 +(D7-H7)^2 + (E7-H7)^2 + (F7-H7)^2 + (G7-H7)^2)/5)^0.5</f>
        <v>71.04533763731439</v>
      </c>
    </row>
    <row r="8" spans="2:16" x14ac:dyDescent="0.35">
      <c r="B8" s="1">
        <v>100</v>
      </c>
      <c r="C8" s="1">
        <v>154</v>
      </c>
      <c r="D8" s="1">
        <v>208</v>
      </c>
      <c r="E8" s="1">
        <v>287</v>
      </c>
      <c r="F8" s="1">
        <v>313</v>
      </c>
      <c r="G8" s="1">
        <v>410</v>
      </c>
      <c r="H8" s="1">
        <f t="shared" ref="H8:H12" si="0">(G8+F8+E8+D8+C8)/5</f>
        <v>274.39999999999998</v>
      </c>
      <c r="I8" s="1">
        <f t="shared" ref="I8:I12" si="1">E8</f>
        <v>287</v>
      </c>
      <c r="J8" s="8">
        <f t="shared" ref="J8:J71" si="2">(((C8-H8)^2 +(D8-H8)^2 + (E8-H8)^2 + (F8-H8)^2 + (G8-H8)^2)/5)^0.5</f>
        <v>88.251005659992344</v>
      </c>
    </row>
    <row r="9" spans="2:16" x14ac:dyDescent="0.35">
      <c r="B9" s="1">
        <v>200</v>
      </c>
      <c r="C9" s="1">
        <v>148</v>
      </c>
      <c r="D9" s="1">
        <v>247</v>
      </c>
      <c r="E9" s="1">
        <v>274</v>
      </c>
      <c r="F9" s="1">
        <v>280</v>
      </c>
      <c r="G9" s="1">
        <v>415</v>
      </c>
      <c r="H9" s="1">
        <f t="shared" si="0"/>
        <v>272.8</v>
      </c>
      <c r="I9" s="1">
        <f t="shared" si="1"/>
        <v>274</v>
      </c>
      <c r="J9" s="8">
        <f t="shared" si="2"/>
        <v>85.457357787378385</v>
      </c>
    </row>
    <row r="10" spans="2:16" x14ac:dyDescent="0.35">
      <c r="B10" s="1">
        <v>500</v>
      </c>
      <c r="C10" s="1">
        <v>123</v>
      </c>
      <c r="D10" s="1">
        <v>242</v>
      </c>
      <c r="E10" s="1">
        <v>272</v>
      </c>
      <c r="F10" s="1">
        <v>325</v>
      </c>
      <c r="G10" s="1">
        <v>350</v>
      </c>
      <c r="H10" s="1">
        <f t="shared" si="0"/>
        <v>262.39999999999998</v>
      </c>
      <c r="I10" s="1">
        <f t="shared" si="1"/>
        <v>272</v>
      </c>
      <c r="J10" s="8">
        <f t="shared" si="2"/>
        <v>79.414356384724286</v>
      </c>
    </row>
    <row r="11" spans="2:16" x14ac:dyDescent="0.35">
      <c r="B11" s="1">
        <v>1000</v>
      </c>
      <c r="C11" s="1">
        <v>121</v>
      </c>
      <c r="D11" s="1">
        <v>133</v>
      </c>
      <c r="E11" s="1">
        <v>253</v>
      </c>
      <c r="F11" s="1">
        <v>268</v>
      </c>
      <c r="G11" s="1">
        <v>342</v>
      </c>
      <c r="H11" s="1">
        <f t="shared" si="0"/>
        <v>223.4</v>
      </c>
      <c r="I11" s="1">
        <f t="shared" si="1"/>
        <v>253</v>
      </c>
      <c r="J11" s="8">
        <f t="shared" si="2"/>
        <v>84.36729224053596</v>
      </c>
    </row>
    <row r="12" spans="2:16" x14ac:dyDescent="0.35">
      <c r="B12" s="1">
        <v>2500</v>
      </c>
      <c r="C12" s="1">
        <v>161</v>
      </c>
      <c r="D12" s="1">
        <v>183</v>
      </c>
      <c r="E12" s="1">
        <v>270</v>
      </c>
      <c r="F12" s="1">
        <v>281</v>
      </c>
      <c r="G12" s="1">
        <v>358</v>
      </c>
      <c r="H12" s="1">
        <f t="shared" si="0"/>
        <v>250.6</v>
      </c>
      <c r="I12" s="1">
        <f t="shared" si="1"/>
        <v>270</v>
      </c>
      <c r="J12" s="8">
        <f t="shared" si="2"/>
        <v>71.320684236762617</v>
      </c>
    </row>
    <row r="13" spans="2:16" x14ac:dyDescent="0.35">
      <c r="J13" s="11"/>
    </row>
    <row r="14" spans="2:16" x14ac:dyDescent="0.35">
      <c r="J14" s="11"/>
    </row>
    <row r="15" spans="2:16" x14ac:dyDescent="0.35">
      <c r="B15" s="22" t="s">
        <v>4</v>
      </c>
      <c r="C15" s="22"/>
      <c r="D15" s="22"/>
      <c r="E15" s="22"/>
      <c r="F15" s="22"/>
      <c r="G15" s="22"/>
      <c r="H15" s="1"/>
      <c r="I15" s="1"/>
      <c r="J15" s="8"/>
    </row>
    <row r="16" spans="2:16" ht="28" x14ac:dyDescent="0.35">
      <c r="B16" s="1"/>
      <c r="C16" s="1">
        <v>1</v>
      </c>
      <c r="D16" s="1">
        <v>2</v>
      </c>
      <c r="E16" s="1">
        <v>3</v>
      </c>
      <c r="F16" s="1">
        <v>4</v>
      </c>
      <c r="G16" s="1">
        <v>5</v>
      </c>
      <c r="H16" s="1" t="s">
        <v>1</v>
      </c>
      <c r="I16" s="1" t="s">
        <v>2</v>
      </c>
      <c r="J16" s="9" t="s">
        <v>3</v>
      </c>
    </row>
    <row r="17" spans="2:10" x14ac:dyDescent="0.35">
      <c r="B17" s="1">
        <v>10</v>
      </c>
      <c r="C17" s="1">
        <v>84</v>
      </c>
      <c r="D17" s="1">
        <v>141</v>
      </c>
      <c r="E17" s="1">
        <v>144</v>
      </c>
      <c r="F17" s="1">
        <v>173</v>
      </c>
      <c r="G17" s="1">
        <v>391</v>
      </c>
      <c r="H17" s="1">
        <f>(C17+D17+E17+F17+G17)/5</f>
        <v>186.6</v>
      </c>
      <c r="I17" s="1">
        <f>E17</f>
        <v>144</v>
      </c>
      <c r="J17" s="8">
        <f t="shared" si="2"/>
        <v>106.19340845834076</v>
      </c>
    </row>
    <row r="18" spans="2:10" x14ac:dyDescent="0.35">
      <c r="B18" s="1">
        <v>100</v>
      </c>
      <c r="C18" s="1">
        <v>128</v>
      </c>
      <c r="D18" s="1">
        <v>205</v>
      </c>
      <c r="E18" s="1">
        <v>216</v>
      </c>
      <c r="F18" s="1">
        <v>217</v>
      </c>
      <c r="G18" s="1">
        <v>365</v>
      </c>
      <c r="H18" s="1">
        <f t="shared" ref="H18:H22" si="3">(C18+D18+E18+F18+G18)/5</f>
        <v>226.2</v>
      </c>
      <c r="I18" s="1">
        <f t="shared" ref="I18:I22" si="4">E18</f>
        <v>216</v>
      </c>
      <c r="J18" s="8">
        <f t="shared" si="2"/>
        <v>76.872361743347</v>
      </c>
    </row>
    <row r="19" spans="2:10" x14ac:dyDescent="0.35">
      <c r="B19" s="1">
        <v>200</v>
      </c>
      <c r="C19" s="1">
        <v>133</v>
      </c>
      <c r="D19" s="1">
        <v>145</v>
      </c>
      <c r="E19" s="1">
        <v>175</v>
      </c>
      <c r="F19" s="1">
        <v>209</v>
      </c>
      <c r="G19" s="1">
        <v>265</v>
      </c>
      <c r="H19" s="1">
        <f t="shared" si="3"/>
        <v>185.4</v>
      </c>
      <c r="I19" s="1">
        <f t="shared" si="4"/>
        <v>175</v>
      </c>
      <c r="J19" s="8">
        <f t="shared" si="2"/>
        <v>47.705764850801842</v>
      </c>
    </row>
    <row r="20" spans="2:10" x14ac:dyDescent="0.35">
      <c r="B20" s="1">
        <v>500</v>
      </c>
      <c r="C20" s="1">
        <v>143</v>
      </c>
      <c r="D20" s="1">
        <v>156</v>
      </c>
      <c r="E20" s="1">
        <v>156</v>
      </c>
      <c r="F20" s="1">
        <v>306</v>
      </c>
      <c r="G20" s="1">
        <v>314</v>
      </c>
      <c r="H20" s="1">
        <f t="shared" si="3"/>
        <v>215</v>
      </c>
      <c r="I20" s="1">
        <f t="shared" si="4"/>
        <v>156</v>
      </c>
      <c r="J20" s="8">
        <f t="shared" si="2"/>
        <v>77.753456514807112</v>
      </c>
    </row>
    <row r="21" spans="2:10" x14ac:dyDescent="0.35">
      <c r="B21" s="1">
        <v>1000</v>
      </c>
      <c r="C21" s="1">
        <v>128</v>
      </c>
      <c r="D21" s="1">
        <v>192</v>
      </c>
      <c r="E21" s="1">
        <v>223</v>
      </c>
      <c r="F21" s="1">
        <v>250</v>
      </c>
      <c r="G21" s="1">
        <v>408</v>
      </c>
      <c r="H21" s="1">
        <f t="shared" si="3"/>
        <v>240.2</v>
      </c>
      <c r="I21" s="1">
        <f t="shared" si="4"/>
        <v>223</v>
      </c>
      <c r="J21" s="8">
        <f t="shared" si="2"/>
        <v>93.231754247144792</v>
      </c>
    </row>
    <row r="22" spans="2:10" x14ac:dyDescent="0.35">
      <c r="B22" s="1">
        <v>2500</v>
      </c>
      <c r="C22" s="1">
        <v>234</v>
      </c>
      <c r="D22" s="1">
        <v>262</v>
      </c>
      <c r="E22" s="1">
        <v>300</v>
      </c>
      <c r="F22" s="1">
        <v>332</v>
      </c>
      <c r="G22" s="1">
        <v>496</v>
      </c>
      <c r="H22" s="1">
        <f t="shared" si="3"/>
        <v>324.8</v>
      </c>
      <c r="I22" s="1">
        <f t="shared" si="4"/>
        <v>300</v>
      </c>
      <c r="J22" s="8">
        <f t="shared" si="2"/>
        <v>91.831149399318747</v>
      </c>
    </row>
    <row r="23" spans="2:10" x14ac:dyDescent="0.35">
      <c r="J23" s="11"/>
    </row>
    <row r="24" spans="2:10" x14ac:dyDescent="0.35">
      <c r="J24" s="11"/>
    </row>
    <row r="25" spans="2:10" x14ac:dyDescent="0.35">
      <c r="B25" s="22" t="s">
        <v>5</v>
      </c>
      <c r="C25" s="22"/>
      <c r="D25" s="22"/>
      <c r="E25" s="22"/>
      <c r="F25" s="22"/>
      <c r="G25" s="22"/>
      <c r="H25" s="1"/>
      <c r="I25" s="1"/>
      <c r="J25" s="8"/>
    </row>
    <row r="26" spans="2:10" ht="28" x14ac:dyDescent="0.35">
      <c r="B26" s="1"/>
      <c r="C26" s="1">
        <v>1</v>
      </c>
      <c r="D26" s="1">
        <v>2</v>
      </c>
      <c r="E26" s="1">
        <v>3</v>
      </c>
      <c r="F26" s="1">
        <v>4</v>
      </c>
      <c r="G26" s="1">
        <v>5</v>
      </c>
      <c r="H26" s="1" t="s">
        <v>1</v>
      </c>
      <c r="I26" s="1" t="s">
        <v>2</v>
      </c>
      <c r="J26" s="9" t="s">
        <v>3</v>
      </c>
    </row>
    <row r="27" spans="2:10" x14ac:dyDescent="0.35">
      <c r="B27" s="1">
        <v>10</v>
      </c>
      <c r="C27" s="1">
        <v>157</v>
      </c>
      <c r="D27" s="1">
        <v>230</v>
      </c>
      <c r="E27" s="1">
        <v>256</v>
      </c>
      <c r="F27" s="1">
        <v>262</v>
      </c>
      <c r="G27" s="1">
        <v>267</v>
      </c>
      <c r="H27" s="1">
        <f>(G27+F27+E27+D27+C27)/5</f>
        <v>234.4</v>
      </c>
      <c r="I27" s="1">
        <f>E27</f>
        <v>256</v>
      </c>
      <c r="J27" s="8">
        <f t="shared" si="2"/>
        <v>40.746042752640406</v>
      </c>
    </row>
    <row r="28" spans="2:10" x14ac:dyDescent="0.35">
      <c r="B28" s="1">
        <v>100</v>
      </c>
      <c r="C28" s="1">
        <v>102</v>
      </c>
      <c r="D28" s="1">
        <v>129</v>
      </c>
      <c r="E28" s="1">
        <v>197</v>
      </c>
      <c r="F28" s="1">
        <v>240</v>
      </c>
      <c r="G28" s="1">
        <v>588</v>
      </c>
      <c r="H28" s="1">
        <f t="shared" ref="H28:H32" si="5">(G28+F28+E28+D28+C28)/5</f>
        <v>251.2</v>
      </c>
      <c r="I28" s="1">
        <f t="shared" ref="I28:I32" si="6">E28</f>
        <v>197</v>
      </c>
      <c r="J28" s="8">
        <f t="shared" si="2"/>
        <v>175.32301617300564</v>
      </c>
    </row>
    <row r="29" spans="2:10" x14ac:dyDescent="0.35">
      <c r="B29" s="1">
        <v>200</v>
      </c>
      <c r="C29" s="1">
        <v>117</v>
      </c>
      <c r="D29" s="1">
        <v>127</v>
      </c>
      <c r="E29" s="1">
        <v>145</v>
      </c>
      <c r="F29" s="1">
        <v>159</v>
      </c>
      <c r="G29" s="1">
        <v>199</v>
      </c>
      <c r="H29" s="1">
        <f t="shared" si="5"/>
        <v>149.4</v>
      </c>
      <c r="I29" s="1">
        <f t="shared" si="6"/>
        <v>145</v>
      </c>
      <c r="J29" s="8">
        <f t="shared" si="2"/>
        <v>28.716545753276108</v>
      </c>
    </row>
    <row r="30" spans="2:10" x14ac:dyDescent="0.35">
      <c r="B30" s="1">
        <v>500</v>
      </c>
      <c r="C30" s="1">
        <v>138</v>
      </c>
      <c r="D30" s="1">
        <v>147</v>
      </c>
      <c r="E30" s="1">
        <v>155</v>
      </c>
      <c r="F30" s="1">
        <v>161</v>
      </c>
      <c r="G30" s="1">
        <v>204</v>
      </c>
      <c r="H30" s="1">
        <f t="shared" si="5"/>
        <v>161</v>
      </c>
      <c r="I30" s="1">
        <f t="shared" si="6"/>
        <v>155</v>
      </c>
      <c r="J30" s="8">
        <f t="shared" si="2"/>
        <v>22.847319317591726</v>
      </c>
    </row>
    <row r="31" spans="2:10" x14ac:dyDescent="0.35">
      <c r="B31" s="1">
        <v>1000</v>
      </c>
      <c r="C31" s="1">
        <v>113</v>
      </c>
      <c r="D31" s="1">
        <v>122</v>
      </c>
      <c r="E31" s="1">
        <v>156</v>
      </c>
      <c r="F31" s="1">
        <v>166</v>
      </c>
      <c r="G31" s="1">
        <v>197</v>
      </c>
      <c r="H31" s="1">
        <f t="shared" si="5"/>
        <v>150.80000000000001</v>
      </c>
      <c r="I31" s="1">
        <f t="shared" si="6"/>
        <v>156</v>
      </c>
      <c r="J31" s="8">
        <f t="shared" si="2"/>
        <v>30.498524554476404</v>
      </c>
    </row>
    <row r="32" spans="2:10" x14ac:dyDescent="0.35">
      <c r="B32" s="1">
        <v>2500</v>
      </c>
      <c r="C32" s="1">
        <v>260</v>
      </c>
      <c r="D32" s="1">
        <v>375</v>
      </c>
      <c r="E32" s="1">
        <v>399</v>
      </c>
      <c r="F32" s="1">
        <v>424</v>
      </c>
      <c r="G32" s="1">
        <v>625</v>
      </c>
      <c r="H32" s="1">
        <f t="shared" si="5"/>
        <v>416.6</v>
      </c>
      <c r="I32" s="1">
        <f t="shared" si="6"/>
        <v>399</v>
      </c>
      <c r="J32" s="8">
        <f t="shared" si="2"/>
        <v>118.36316994741227</v>
      </c>
    </row>
    <row r="33" spans="2:10" x14ac:dyDescent="0.35">
      <c r="J33" s="11"/>
    </row>
    <row r="34" spans="2:10" x14ac:dyDescent="0.35">
      <c r="J34" s="11"/>
    </row>
    <row r="35" spans="2:10" x14ac:dyDescent="0.35">
      <c r="B35" s="22" t="s">
        <v>6</v>
      </c>
      <c r="C35" s="22"/>
      <c r="D35" s="22"/>
      <c r="E35" s="22"/>
      <c r="F35" s="22"/>
      <c r="G35" s="22"/>
      <c r="H35" s="1"/>
      <c r="I35" s="1"/>
      <c r="J35" s="8"/>
    </row>
    <row r="36" spans="2:10" ht="28" x14ac:dyDescent="0.35">
      <c r="B36" s="1"/>
      <c r="C36" s="1">
        <v>1</v>
      </c>
      <c r="D36" s="1">
        <v>2</v>
      </c>
      <c r="E36" s="1">
        <v>3</v>
      </c>
      <c r="F36" s="1">
        <v>4</v>
      </c>
      <c r="G36" s="1">
        <v>5</v>
      </c>
      <c r="H36" s="1" t="s">
        <v>1</v>
      </c>
      <c r="I36" s="1" t="s">
        <v>2</v>
      </c>
      <c r="J36" s="9" t="s">
        <v>3</v>
      </c>
    </row>
    <row r="37" spans="2:10" x14ac:dyDescent="0.35">
      <c r="B37" s="1">
        <v>10</v>
      </c>
      <c r="C37" s="1">
        <v>146</v>
      </c>
      <c r="D37" s="1">
        <v>154</v>
      </c>
      <c r="E37" s="1">
        <v>181</v>
      </c>
      <c r="F37" s="1">
        <v>274</v>
      </c>
      <c r="G37" s="1">
        <v>279</v>
      </c>
      <c r="H37" s="1">
        <f>(G37+F37+E37+D37+C37)/5</f>
        <v>206.8</v>
      </c>
      <c r="I37" s="1">
        <f>E37</f>
        <v>181</v>
      </c>
      <c r="J37" s="8">
        <f>(((C37-H37)^2 +(D37-H37)^2 + (E37-H37)^2 + (F37-H37)^2 + (G37-H37)^2)/5)^0.5</f>
        <v>58.101290863456725</v>
      </c>
    </row>
    <row r="38" spans="2:10" x14ac:dyDescent="0.35">
      <c r="B38" s="1">
        <v>100</v>
      </c>
      <c r="C38" s="1">
        <v>135</v>
      </c>
      <c r="D38" s="1">
        <v>156</v>
      </c>
      <c r="E38" s="1">
        <v>157</v>
      </c>
      <c r="F38" s="1">
        <v>178</v>
      </c>
      <c r="G38" s="1">
        <v>224</v>
      </c>
      <c r="H38" s="1">
        <f t="shared" ref="H38:H42" si="7">(G38+F38+E38+D38+C38)/5</f>
        <v>170</v>
      </c>
      <c r="I38" s="1">
        <f t="shared" ref="I38:I42" si="8">E38</f>
        <v>157</v>
      </c>
      <c r="J38" s="8">
        <f t="shared" si="2"/>
        <v>30.232432915661949</v>
      </c>
    </row>
    <row r="39" spans="2:10" x14ac:dyDescent="0.35">
      <c r="B39" s="1">
        <v>200</v>
      </c>
      <c r="C39" s="1">
        <v>121</v>
      </c>
      <c r="D39" s="1">
        <v>129</v>
      </c>
      <c r="E39" s="1">
        <v>143</v>
      </c>
      <c r="F39" s="1">
        <v>150</v>
      </c>
      <c r="G39" s="1">
        <v>197</v>
      </c>
      <c r="H39" s="1">
        <f t="shared" si="7"/>
        <v>148</v>
      </c>
      <c r="I39" s="1">
        <f t="shared" si="8"/>
        <v>143</v>
      </c>
      <c r="J39" s="8">
        <f t="shared" si="2"/>
        <v>26.532998322843198</v>
      </c>
    </row>
    <row r="40" spans="2:10" x14ac:dyDescent="0.35">
      <c r="B40" s="1">
        <v>500</v>
      </c>
      <c r="C40" s="1">
        <v>108</v>
      </c>
      <c r="D40" s="1">
        <v>119</v>
      </c>
      <c r="E40" s="1">
        <v>120</v>
      </c>
      <c r="F40" s="1">
        <v>121</v>
      </c>
      <c r="G40" s="1">
        <v>137</v>
      </c>
      <c r="H40" s="1">
        <f t="shared" si="7"/>
        <v>121</v>
      </c>
      <c r="I40" s="1">
        <f t="shared" si="8"/>
        <v>120</v>
      </c>
      <c r="J40" s="8">
        <f t="shared" si="2"/>
        <v>9.2736184954957039</v>
      </c>
    </row>
    <row r="41" spans="2:10" x14ac:dyDescent="0.35">
      <c r="B41" s="1">
        <v>1000</v>
      </c>
      <c r="C41" s="1">
        <v>119</v>
      </c>
      <c r="D41" s="1">
        <v>137</v>
      </c>
      <c r="E41" s="1">
        <v>147</v>
      </c>
      <c r="F41" s="1">
        <v>157</v>
      </c>
      <c r="G41" s="1">
        <v>170</v>
      </c>
      <c r="H41" s="1">
        <f t="shared" si="7"/>
        <v>146</v>
      </c>
      <c r="I41" s="1">
        <f t="shared" si="8"/>
        <v>147</v>
      </c>
      <c r="J41" s="8">
        <f t="shared" si="2"/>
        <v>17.366634676873929</v>
      </c>
    </row>
    <row r="42" spans="2:10" x14ac:dyDescent="0.35">
      <c r="B42" s="1">
        <v>2500</v>
      </c>
      <c r="C42" s="1">
        <v>206</v>
      </c>
      <c r="D42" s="1">
        <v>223</v>
      </c>
      <c r="E42" s="1">
        <v>287</v>
      </c>
      <c r="F42" s="1">
        <v>328</v>
      </c>
      <c r="G42" s="1">
        <v>365</v>
      </c>
      <c r="H42" s="1">
        <f t="shared" si="7"/>
        <v>281.8</v>
      </c>
      <c r="I42" s="1">
        <f t="shared" si="8"/>
        <v>287</v>
      </c>
      <c r="J42" s="8">
        <f t="shared" si="2"/>
        <v>60.476110986074488</v>
      </c>
    </row>
    <row r="43" spans="2:10" x14ac:dyDescent="0.35">
      <c r="J43" s="11"/>
    </row>
    <row r="44" spans="2:10" x14ac:dyDescent="0.35">
      <c r="J44" s="11"/>
    </row>
    <row r="45" spans="2:10" x14ac:dyDescent="0.35">
      <c r="B45" s="22" t="s">
        <v>7</v>
      </c>
      <c r="C45" s="22"/>
      <c r="D45" s="22"/>
      <c r="E45" s="22"/>
      <c r="F45" s="22"/>
      <c r="G45" s="22"/>
      <c r="H45" s="1"/>
      <c r="I45" s="1"/>
      <c r="J45" s="8"/>
    </row>
    <row r="46" spans="2:10" ht="28" x14ac:dyDescent="0.35">
      <c r="B46" s="1"/>
      <c r="C46" s="1">
        <v>1</v>
      </c>
      <c r="D46" s="1">
        <v>2</v>
      </c>
      <c r="E46" s="1">
        <v>3</v>
      </c>
      <c r="F46" s="1">
        <v>4</v>
      </c>
      <c r="G46" s="1">
        <v>5</v>
      </c>
      <c r="H46" s="1" t="s">
        <v>1</v>
      </c>
      <c r="I46" s="1" t="s">
        <v>2</v>
      </c>
      <c r="J46" s="9" t="s">
        <v>3</v>
      </c>
    </row>
    <row r="47" spans="2:10" x14ac:dyDescent="0.35">
      <c r="B47" s="1">
        <v>1</v>
      </c>
      <c r="C47" s="1">
        <v>117</v>
      </c>
      <c r="D47" s="1">
        <v>165</v>
      </c>
      <c r="E47" s="1">
        <v>179</v>
      </c>
      <c r="F47" s="1">
        <v>192</v>
      </c>
      <c r="G47" s="1">
        <v>276</v>
      </c>
      <c r="H47" s="1">
        <f>(G47+F47+E47+D47+C47)/5</f>
        <v>185.8</v>
      </c>
      <c r="I47" s="1">
        <f>E47</f>
        <v>179</v>
      </c>
      <c r="J47" s="8">
        <f t="shared" si="2"/>
        <v>51.743212115213716</v>
      </c>
    </row>
    <row r="48" spans="2:10" x14ac:dyDescent="0.35">
      <c r="B48" s="1">
        <v>3</v>
      </c>
      <c r="C48" s="1">
        <v>95</v>
      </c>
      <c r="D48" s="1">
        <v>97</v>
      </c>
      <c r="E48" s="1">
        <v>142</v>
      </c>
      <c r="F48" s="1">
        <v>143</v>
      </c>
      <c r="G48" s="1">
        <v>151</v>
      </c>
      <c r="H48" s="1">
        <f t="shared" ref="H48:H52" si="9">(G48+F48+E48+D48+C48)/5</f>
        <v>125.6</v>
      </c>
      <c r="I48" s="1">
        <f t="shared" ref="I48:I52" si="10">E48</f>
        <v>142</v>
      </c>
      <c r="J48" s="8">
        <f t="shared" si="2"/>
        <v>24.377038376308143</v>
      </c>
    </row>
    <row r="49" spans="2:10" x14ac:dyDescent="0.35">
      <c r="B49" s="1">
        <v>5</v>
      </c>
      <c r="C49" s="1">
        <v>77</v>
      </c>
      <c r="D49" s="1">
        <v>100</v>
      </c>
      <c r="E49" s="1">
        <v>101</v>
      </c>
      <c r="F49" s="1">
        <v>113</v>
      </c>
      <c r="G49" s="1">
        <v>130</v>
      </c>
      <c r="H49" s="1">
        <f t="shared" si="9"/>
        <v>104.2</v>
      </c>
      <c r="I49" s="1">
        <f t="shared" si="10"/>
        <v>101</v>
      </c>
      <c r="J49" s="8">
        <f t="shared" si="2"/>
        <v>17.382750070112611</v>
      </c>
    </row>
    <row r="50" spans="2:10" x14ac:dyDescent="0.35">
      <c r="B50" s="1">
        <v>8</v>
      </c>
      <c r="C50" s="1">
        <v>165</v>
      </c>
      <c r="D50" s="1">
        <v>205</v>
      </c>
      <c r="E50" s="1">
        <v>230</v>
      </c>
      <c r="F50" s="1">
        <v>236</v>
      </c>
      <c r="G50" s="1">
        <v>282</v>
      </c>
      <c r="H50" s="1">
        <f t="shared" si="9"/>
        <v>223.6</v>
      </c>
      <c r="I50" s="1">
        <f t="shared" si="10"/>
        <v>230</v>
      </c>
      <c r="J50" s="8">
        <f t="shared" si="2"/>
        <v>38.432278100575829</v>
      </c>
    </row>
    <row r="51" spans="2:10" x14ac:dyDescent="0.35">
      <c r="B51" s="1">
        <v>10</v>
      </c>
      <c r="C51" s="1">
        <v>72</v>
      </c>
      <c r="D51" s="1">
        <v>88</v>
      </c>
      <c r="E51" s="1">
        <v>92</v>
      </c>
      <c r="F51" s="1">
        <v>108</v>
      </c>
      <c r="G51" s="1">
        <v>122</v>
      </c>
      <c r="H51" s="1">
        <f t="shared" si="9"/>
        <v>96.4</v>
      </c>
      <c r="I51" s="1">
        <f t="shared" si="10"/>
        <v>92</v>
      </c>
      <c r="J51" s="8">
        <f t="shared" si="2"/>
        <v>17.176728442867109</v>
      </c>
    </row>
    <row r="52" spans="2:10" x14ac:dyDescent="0.35">
      <c r="B52" s="1">
        <v>11</v>
      </c>
      <c r="C52" s="1">
        <v>85</v>
      </c>
      <c r="D52" s="1">
        <v>91</v>
      </c>
      <c r="E52" s="1">
        <v>100</v>
      </c>
      <c r="F52" s="1">
        <v>106</v>
      </c>
      <c r="G52" s="1">
        <v>138</v>
      </c>
      <c r="H52" s="1">
        <f t="shared" si="9"/>
        <v>104</v>
      </c>
      <c r="I52" s="1">
        <f t="shared" si="10"/>
        <v>100</v>
      </c>
      <c r="J52" s="8">
        <f t="shared" si="2"/>
        <v>18.471599822430107</v>
      </c>
    </row>
    <row r="53" spans="2:10" x14ac:dyDescent="0.35">
      <c r="J53" s="11"/>
    </row>
    <row r="54" spans="2:10" x14ac:dyDescent="0.35">
      <c r="J54" s="11"/>
    </row>
    <row r="55" spans="2:10" x14ac:dyDescent="0.35">
      <c r="B55" s="22" t="s">
        <v>8</v>
      </c>
      <c r="C55" s="22"/>
      <c r="D55" s="22"/>
      <c r="E55" s="22"/>
      <c r="F55" s="22"/>
      <c r="G55" s="22"/>
      <c r="H55" s="1"/>
      <c r="I55" s="12"/>
      <c r="J55" s="8"/>
    </row>
    <row r="56" spans="2:10" ht="28" x14ac:dyDescent="0.35">
      <c r="B56" s="1"/>
      <c r="C56" s="1">
        <v>1</v>
      </c>
      <c r="D56" s="1">
        <v>2</v>
      </c>
      <c r="E56" s="1">
        <v>3</v>
      </c>
      <c r="F56" s="1">
        <v>4</v>
      </c>
      <c r="G56" s="1">
        <v>5</v>
      </c>
      <c r="H56" s="1" t="s">
        <v>1</v>
      </c>
      <c r="I56" s="1" t="s">
        <v>2</v>
      </c>
      <c r="J56" s="13" t="s">
        <v>3</v>
      </c>
    </row>
    <row r="57" spans="2:10" x14ac:dyDescent="0.35">
      <c r="B57" s="1">
        <v>1</v>
      </c>
      <c r="C57" s="1">
        <v>97</v>
      </c>
      <c r="D57" s="1">
        <v>103</v>
      </c>
      <c r="E57" s="1">
        <v>106</v>
      </c>
      <c r="F57" s="1">
        <v>118</v>
      </c>
      <c r="G57" s="1">
        <v>143</v>
      </c>
      <c r="H57" s="1">
        <f>(G57+F57+E57+D57+C57)/5</f>
        <v>113.4</v>
      </c>
      <c r="I57" s="1">
        <f>E57</f>
        <v>106</v>
      </c>
      <c r="J57" s="8">
        <f t="shared" si="2"/>
        <v>16.304600577751057</v>
      </c>
    </row>
    <row r="58" spans="2:10" x14ac:dyDescent="0.35">
      <c r="B58" s="1">
        <v>3</v>
      </c>
      <c r="C58" s="1">
        <v>88</v>
      </c>
      <c r="D58" s="1">
        <v>107</v>
      </c>
      <c r="E58" s="1">
        <v>117</v>
      </c>
      <c r="F58" s="1">
        <v>122</v>
      </c>
      <c r="G58" s="1">
        <v>133</v>
      </c>
      <c r="H58" s="1">
        <f t="shared" ref="H58:H62" si="11">(G58+F58+E58+D58+C58)/5</f>
        <v>113.4</v>
      </c>
      <c r="I58" s="1">
        <f t="shared" ref="I58:I62" si="12">E58</f>
        <v>117</v>
      </c>
      <c r="J58" s="8">
        <f t="shared" si="2"/>
        <v>15.21315220458929</v>
      </c>
    </row>
    <row r="59" spans="2:10" x14ac:dyDescent="0.35">
      <c r="B59" s="1">
        <v>5</v>
      </c>
      <c r="C59" s="1">
        <v>103</v>
      </c>
      <c r="D59" s="1">
        <v>109</v>
      </c>
      <c r="E59" s="1">
        <v>110</v>
      </c>
      <c r="F59" s="1">
        <v>119</v>
      </c>
      <c r="G59" s="1">
        <v>149</v>
      </c>
      <c r="H59" s="1">
        <f t="shared" si="11"/>
        <v>118</v>
      </c>
      <c r="I59" s="1">
        <f t="shared" si="12"/>
        <v>110</v>
      </c>
      <c r="J59" s="8">
        <f t="shared" si="2"/>
        <v>16.321764610482532</v>
      </c>
    </row>
    <row r="60" spans="2:10" x14ac:dyDescent="0.35">
      <c r="B60" s="1">
        <v>8</v>
      </c>
      <c r="C60" s="1">
        <v>108</v>
      </c>
      <c r="D60" s="1">
        <v>117</v>
      </c>
      <c r="E60" s="1">
        <v>120</v>
      </c>
      <c r="F60" s="1">
        <v>131</v>
      </c>
      <c r="G60" s="1">
        <v>159</v>
      </c>
      <c r="H60" s="1">
        <f t="shared" si="11"/>
        <v>127</v>
      </c>
      <c r="I60" s="1">
        <f t="shared" si="12"/>
        <v>120</v>
      </c>
      <c r="J60" s="8">
        <f t="shared" si="2"/>
        <v>17.606816861659009</v>
      </c>
    </row>
    <row r="61" spans="2:10" x14ac:dyDescent="0.35">
      <c r="B61" s="1">
        <v>10</v>
      </c>
      <c r="C61" s="1">
        <v>111</v>
      </c>
      <c r="D61" s="1">
        <v>117</v>
      </c>
      <c r="E61" s="1">
        <v>124</v>
      </c>
      <c r="F61" s="1">
        <v>151</v>
      </c>
      <c r="G61" s="1">
        <v>163</v>
      </c>
      <c r="H61" s="1">
        <f t="shared" si="11"/>
        <v>133.19999999999999</v>
      </c>
      <c r="I61" s="1">
        <f t="shared" si="12"/>
        <v>124</v>
      </c>
      <c r="J61" s="8">
        <f t="shared" si="2"/>
        <v>20.222759455623262</v>
      </c>
    </row>
    <row r="62" spans="2:10" x14ac:dyDescent="0.35">
      <c r="B62" s="1">
        <v>11</v>
      </c>
      <c r="C62" s="1">
        <v>105</v>
      </c>
      <c r="D62" s="1">
        <v>110</v>
      </c>
      <c r="E62" s="1">
        <v>136</v>
      </c>
      <c r="F62" s="1">
        <v>163</v>
      </c>
      <c r="G62" s="1">
        <v>177</v>
      </c>
      <c r="H62" s="1">
        <f t="shared" si="11"/>
        <v>138.19999999999999</v>
      </c>
      <c r="I62" s="1">
        <f t="shared" si="12"/>
        <v>136</v>
      </c>
      <c r="J62" s="8">
        <f t="shared" si="2"/>
        <v>28.364766877236978</v>
      </c>
    </row>
    <row r="63" spans="2:10" x14ac:dyDescent="0.35">
      <c r="J63" s="11"/>
    </row>
    <row r="64" spans="2:10" x14ac:dyDescent="0.35">
      <c r="J64" s="11"/>
    </row>
    <row r="65" spans="2:10" x14ac:dyDescent="0.35">
      <c r="B65" s="22" t="s">
        <v>9</v>
      </c>
      <c r="C65" s="22"/>
      <c r="D65" s="22"/>
      <c r="E65" s="22"/>
      <c r="F65" s="22"/>
      <c r="G65" s="22"/>
      <c r="H65" s="1"/>
      <c r="I65" s="12"/>
      <c r="J65" s="8"/>
    </row>
    <row r="66" spans="2:10" ht="28" x14ac:dyDescent="0.35">
      <c r="B66" s="1"/>
      <c r="C66" s="1">
        <v>1</v>
      </c>
      <c r="D66" s="1">
        <v>2</v>
      </c>
      <c r="E66" s="1">
        <v>3</v>
      </c>
      <c r="F66" s="1">
        <v>4</v>
      </c>
      <c r="G66" s="1">
        <v>5</v>
      </c>
      <c r="H66" s="1" t="s">
        <v>1</v>
      </c>
      <c r="I66" s="1" t="s">
        <v>2</v>
      </c>
      <c r="J66" s="13" t="s">
        <v>3</v>
      </c>
    </row>
    <row r="67" spans="2:10" x14ac:dyDescent="0.35">
      <c r="B67" s="1">
        <v>1</v>
      </c>
      <c r="C67" s="1">
        <v>113</v>
      </c>
      <c r="D67" s="1">
        <v>134</v>
      </c>
      <c r="E67" s="1">
        <v>144</v>
      </c>
      <c r="F67" s="1">
        <v>147</v>
      </c>
      <c r="G67" s="1">
        <v>168</v>
      </c>
      <c r="H67" s="1">
        <f>(G67+F67+E67+D67+C67)/5</f>
        <v>141.19999999999999</v>
      </c>
      <c r="I67" s="1">
        <f>E67</f>
        <v>144</v>
      </c>
      <c r="J67" s="8">
        <f t="shared" si="2"/>
        <v>17.926516672237245</v>
      </c>
    </row>
    <row r="68" spans="2:10" x14ac:dyDescent="0.35">
      <c r="B68" s="1">
        <v>3</v>
      </c>
      <c r="C68" s="1">
        <v>128</v>
      </c>
      <c r="D68" s="1">
        <v>129</v>
      </c>
      <c r="E68" s="1">
        <v>133</v>
      </c>
      <c r="F68" s="1">
        <v>153</v>
      </c>
      <c r="G68" s="1">
        <v>158</v>
      </c>
      <c r="H68" s="1">
        <f t="shared" ref="H68:H72" si="13">(G68+F68+E68+D68+C68)/5</f>
        <v>140.19999999999999</v>
      </c>
      <c r="I68" s="1">
        <f t="shared" ref="I68:I72" si="14">E68</f>
        <v>133</v>
      </c>
      <c r="J68" s="8">
        <f t="shared" si="2"/>
        <v>12.702755606560334</v>
      </c>
    </row>
    <row r="69" spans="2:10" x14ac:dyDescent="0.35">
      <c r="B69" s="1">
        <v>5</v>
      </c>
      <c r="C69" s="1">
        <v>116</v>
      </c>
      <c r="D69" s="1">
        <v>118</v>
      </c>
      <c r="E69" s="1">
        <v>124</v>
      </c>
      <c r="F69" s="1">
        <v>133</v>
      </c>
      <c r="G69" s="1">
        <v>156</v>
      </c>
      <c r="H69" s="1">
        <f t="shared" si="13"/>
        <v>129.4</v>
      </c>
      <c r="I69" s="1">
        <f t="shared" si="14"/>
        <v>124</v>
      </c>
      <c r="J69" s="8">
        <f t="shared" si="2"/>
        <v>14.554724318928201</v>
      </c>
    </row>
    <row r="70" spans="2:10" x14ac:dyDescent="0.35">
      <c r="B70" s="1">
        <v>8</v>
      </c>
      <c r="C70" s="1">
        <v>109</v>
      </c>
      <c r="D70" s="1">
        <v>133</v>
      </c>
      <c r="E70" s="1">
        <v>156</v>
      </c>
      <c r="F70" s="1">
        <v>159</v>
      </c>
      <c r="G70" s="1">
        <v>190</v>
      </c>
      <c r="H70" s="1">
        <f t="shared" si="13"/>
        <v>149.4</v>
      </c>
      <c r="I70" s="1">
        <f t="shared" si="14"/>
        <v>156</v>
      </c>
      <c r="J70" s="8">
        <f t="shared" si="2"/>
        <v>27.148480620469353</v>
      </c>
    </row>
    <row r="71" spans="2:10" x14ac:dyDescent="0.35">
      <c r="B71" s="1">
        <v>10</v>
      </c>
      <c r="C71" s="1">
        <v>1113</v>
      </c>
      <c r="D71" s="1">
        <v>1143</v>
      </c>
      <c r="E71" s="1">
        <v>1156</v>
      </c>
      <c r="F71" s="1">
        <v>1186</v>
      </c>
      <c r="G71" s="1">
        <v>1246</v>
      </c>
      <c r="H71" s="1">
        <f t="shared" si="13"/>
        <v>1168.8</v>
      </c>
      <c r="I71" s="1">
        <f t="shared" si="14"/>
        <v>1156</v>
      </c>
      <c r="J71" s="8">
        <f t="shared" si="2"/>
        <v>45.163702239741149</v>
      </c>
    </row>
    <row r="72" spans="2:10" x14ac:dyDescent="0.35">
      <c r="B72" s="1">
        <v>11</v>
      </c>
      <c r="C72" s="1">
        <v>10819</v>
      </c>
      <c r="D72" s="1">
        <v>10841</v>
      </c>
      <c r="E72" s="1">
        <v>10978</v>
      </c>
      <c r="F72" s="1">
        <v>11120</v>
      </c>
      <c r="G72" s="1">
        <v>14960</v>
      </c>
      <c r="H72" s="1">
        <f t="shared" si="13"/>
        <v>11743.6</v>
      </c>
      <c r="I72" s="1">
        <f t="shared" si="14"/>
        <v>10978</v>
      </c>
      <c r="J72" s="8">
        <f t="shared" ref="J72:J133" si="15">(((C72-H72)^2 +(D72-H72)^2 + (E72-H72)^2 + (F72-H72)^2 + (G72-H72)^2)/5)^0.5</f>
        <v>1611.8201636659096</v>
      </c>
    </row>
    <row r="73" spans="2:10" x14ac:dyDescent="0.35">
      <c r="J73" s="11"/>
    </row>
    <row r="74" spans="2:10" ht="29" x14ac:dyDescent="0.35">
      <c r="B74" s="16" t="s">
        <v>12</v>
      </c>
      <c r="J74" s="11"/>
    </row>
    <row r="75" spans="2:10" ht="15" thickBot="1" x14ac:dyDescent="0.4">
      <c r="J75" s="11"/>
    </row>
    <row r="76" spans="2:10" ht="15" thickBot="1" x14ac:dyDescent="0.4">
      <c r="B76" s="19" t="s">
        <v>0</v>
      </c>
      <c r="C76" s="20"/>
      <c r="D76" s="20"/>
      <c r="E76" s="20"/>
      <c r="F76" s="20"/>
      <c r="G76" s="21"/>
      <c r="H76" s="3"/>
      <c r="I76" s="17"/>
      <c r="J76" s="8"/>
    </row>
    <row r="77" spans="2:10" ht="28.5" thickBot="1" x14ac:dyDescent="0.4">
      <c r="B77" s="4"/>
      <c r="C77" s="5">
        <v>1</v>
      </c>
      <c r="D77" s="5">
        <v>2</v>
      </c>
      <c r="E77" s="5">
        <v>3</v>
      </c>
      <c r="F77" s="5">
        <v>4</v>
      </c>
      <c r="G77" s="5">
        <v>5</v>
      </c>
      <c r="H77" s="5" t="s">
        <v>1</v>
      </c>
      <c r="I77" s="5" t="s">
        <v>2</v>
      </c>
      <c r="J77" s="13" t="s">
        <v>3</v>
      </c>
    </row>
    <row r="78" spans="2:10" ht="15" thickBot="1" x14ac:dyDescent="0.4">
      <c r="B78" s="4">
        <v>10</v>
      </c>
      <c r="C78" s="5">
        <v>15</v>
      </c>
      <c r="D78" s="5">
        <v>17</v>
      </c>
      <c r="E78" s="5">
        <v>18</v>
      </c>
      <c r="F78" s="5">
        <v>22</v>
      </c>
      <c r="G78" s="5">
        <v>23</v>
      </c>
      <c r="H78" s="5">
        <f>(G78+F78+E78+D78+C78)/5</f>
        <v>19</v>
      </c>
      <c r="I78" s="5">
        <f>E78</f>
        <v>18</v>
      </c>
      <c r="J78" s="8">
        <f t="shared" si="15"/>
        <v>3.03315017762062</v>
      </c>
    </row>
    <row r="79" spans="2:10" ht="15" thickBot="1" x14ac:dyDescent="0.4">
      <c r="B79" s="4">
        <v>100</v>
      </c>
      <c r="C79" s="5">
        <v>18</v>
      </c>
      <c r="D79" s="5">
        <v>19</v>
      </c>
      <c r="E79" s="5">
        <v>20</v>
      </c>
      <c r="F79" s="5">
        <v>22</v>
      </c>
      <c r="G79" s="5">
        <v>24</v>
      </c>
      <c r="H79" s="5">
        <f t="shared" ref="H79:H83" si="16">(G79+F79+E79+D79+C79)/5</f>
        <v>20.6</v>
      </c>
      <c r="I79" s="5">
        <f t="shared" ref="I79:I83" si="17">E79</f>
        <v>20</v>
      </c>
      <c r="J79" s="8">
        <f t="shared" si="15"/>
        <v>2.1540659228538015</v>
      </c>
    </row>
    <row r="80" spans="2:10" ht="15" thickBot="1" x14ac:dyDescent="0.4">
      <c r="B80" s="4">
        <v>200</v>
      </c>
      <c r="C80" s="5">
        <v>21</v>
      </c>
      <c r="D80" s="5">
        <v>23</v>
      </c>
      <c r="E80" s="5">
        <v>24</v>
      </c>
      <c r="F80" s="5">
        <v>26</v>
      </c>
      <c r="G80" s="5">
        <v>29</v>
      </c>
      <c r="H80" s="5">
        <f t="shared" si="16"/>
        <v>24.6</v>
      </c>
      <c r="I80" s="5">
        <f t="shared" si="17"/>
        <v>24</v>
      </c>
      <c r="J80" s="8">
        <f t="shared" si="15"/>
        <v>2.7276363393971712</v>
      </c>
    </row>
    <row r="81" spans="2:10" ht="15" thickBot="1" x14ac:dyDescent="0.4">
      <c r="B81" s="4">
        <v>500</v>
      </c>
      <c r="C81" s="5">
        <v>20</v>
      </c>
      <c r="D81" s="5">
        <v>22</v>
      </c>
      <c r="E81" s="5">
        <v>25</v>
      </c>
      <c r="F81" s="5">
        <v>32</v>
      </c>
      <c r="G81" s="5">
        <v>33</v>
      </c>
      <c r="H81" s="5">
        <f t="shared" si="16"/>
        <v>26.4</v>
      </c>
      <c r="I81" s="5">
        <f t="shared" si="17"/>
        <v>25</v>
      </c>
      <c r="J81" s="8">
        <f t="shared" si="15"/>
        <v>5.2383203414835178</v>
      </c>
    </row>
    <row r="82" spans="2:10" ht="15" thickBot="1" x14ac:dyDescent="0.4">
      <c r="B82" s="4">
        <v>1000</v>
      </c>
      <c r="C82" s="5">
        <v>16</v>
      </c>
      <c r="D82" s="5">
        <v>17</v>
      </c>
      <c r="E82" s="5">
        <v>19</v>
      </c>
      <c r="F82" s="5">
        <v>22</v>
      </c>
      <c r="G82" s="5">
        <v>23</v>
      </c>
      <c r="H82" s="5">
        <f t="shared" si="16"/>
        <v>19.399999999999999</v>
      </c>
      <c r="I82" s="5">
        <f t="shared" si="17"/>
        <v>19</v>
      </c>
      <c r="J82" s="8">
        <f t="shared" si="15"/>
        <v>2.7276363393971712</v>
      </c>
    </row>
    <row r="83" spans="2:10" ht="15" thickBot="1" x14ac:dyDescent="0.4">
      <c r="B83" s="4">
        <v>2500</v>
      </c>
      <c r="C83" s="5">
        <v>17</v>
      </c>
      <c r="D83" s="5">
        <v>21</v>
      </c>
      <c r="E83" s="5">
        <v>22</v>
      </c>
      <c r="F83" s="5">
        <v>23</v>
      </c>
      <c r="G83" s="5">
        <v>27</v>
      </c>
      <c r="H83" s="5">
        <f t="shared" si="16"/>
        <v>22</v>
      </c>
      <c r="I83" s="5">
        <f t="shared" si="17"/>
        <v>22</v>
      </c>
      <c r="J83" s="8">
        <f t="shared" si="15"/>
        <v>3.2249030993194201</v>
      </c>
    </row>
    <row r="84" spans="2:10" x14ac:dyDescent="0.35">
      <c r="J84" s="11"/>
    </row>
    <row r="85" spans="2:10" ht="15" thickBot="1" x14ac:dyDescent="0.4">
      <c r="J85" s="11"/>
    </row>
    <row r="86" spans="2:10" ht="15" thickBot="1" x14ac:dyDescent="0.4">
      <c r="B86" s="19" t="s">
        <v>4</v>
      </c>
      <c r="C86" s="20"/>
      <c r="D86" s="20"/>
      <c r="E86" s="20"/>
      <c r="F86" s="20"/>
      <c r="G86" s="21"/>
      <c r="H86" s="3"/>
      <c r="I86" s="17"/>
      <c r="J86" s="8"/>
    </row>
    <row r="87" spans="2:10" ht="28.5" thickBot="1" x14ac:dyDescent="0.4">
      <c r="B87" s="4"/>
      <c r="C87" s="5">
        <v>1</v>
      </c>
      <c r="D87" s="5">
        <v>2</v>
      </c>
      <c r="E87" s="5">
        <v>3</v>
      </c>
      <c r="F87" s="5">
        <v>4</v>
      </c>
      <c r="G87" s="5">
        <v>5</v>
      </c>
      <c r="H87" s="5" t="s">
        <v>1</v>
      </c>
      <c r="I87" s="5" t="s">
        <v>2</v>
      </c>
      <c r="J87" s="13" t="s">
        <v>3</v>
      </c>
    </row>
    <row r="88" spans="2:10" ht="15" thickBot="1" x14ac:dyDescent="0.4">
      <c r="B88" s="4">
        <v>10</v>
      </c>
      <c r="C88" s="5">
        <v>16</v>
      </c>
      <c r="D88" s="5">
        <v>17</v>
      </c>
      <c r="E88" s="5">
        <v>22</v>
      </c>
      <c r="F88" s="5">
        <v>27</v>
      </c>
      <c r="G88" s="5">
        <v>28</v>
      </c>
      <c r="H88" s="5">
        <f>(G88+F88+E88+D88+C88)/5</f>
        <v>22</v>
      </c>
      <c r="I88" s="5">
        <f>E88</f>
        <v>22</v>
      </c>
      <c r="J88" s="8">
        <f t="shared" si="15"/>
        <v>4.9396356140913875</v>
      </c>
    </row>
    <row r="89" spans="2:10" ht="15" thickBot="1" x14ac:dyDescent="0.4">
      <c r="B89" s="4">
        <v>100</v>
      </c>
      <c r="C89" s="5">
        <v>18</v>
      </c>
      <c r="D89" s="5">
        <v>20</v>
      </c>
      <c r="E89" s="5">
        <v>26</v>
      </c>
      <c r="F89" s="5">
        <v>28</v>
      </c>
      <c r="G89" s="5">
        <v>31</v>
      </c>
      <c r="H89" s="5">
        <f t="shared" ref="H89:H93" si="18">(G89+F89+E89+D89+C89)/5</f>
        <v>24.6</v>
      </c>
      <c r="I89" s="5">
        <f t="shared" ref="I89:I93" si="19">E89</f>
        <v>26</v>
      </c>
      <c r="J89" s="8">
        <f t="shared" si="15"/>
        <v>4.8826222462934812</v>
      </c>
    </row>
    <row r="90" spans="2:10" ht="15" thickBot="1" x14ac:dyDescent="0.4">
      <c r="B90" s="4">
        <v>200</v>
      </c>
      <c r="C90" s="5">
        <v>23</v>
      </c>
      <c r="D90" s="5">
        <v>24</v>
      </c>
      <c r="E90" s="5">
        <v>25</v>
      </c>
      <c r="F90" s="5">
        <v>29</v>
      </c>
      <c r="G90" s="5">
        <v>33</v>
      </c>
      <c r="H90" s="5">
        <f t="shared" si="18"/>
        <v>26.8</v>
      </c>
      <c r="I90" s="5">
        <f t="shared" si="19"/>
        <v>25</v>
      </c>
      <c r="J90" s="8">
        <f t="shared" si="15"/>
        <v>3.7094473981982814</v>
      </c>
    </row>
    <row r="91" spans="2:10" ht="15" thickBot="1" x14ac:dyDescent="0.4">
      <c r="B91" s="4">
        <v>500</v>
      </c>
      <c r="C91" s="5">
        <v>24</v>
      </c>
      <c r="D91" s="5">
        <v>27</v>
      </c>
      <c r="E91" s="5">
        <v>28</v>
      </c>
      <c r="F91" s="5">
        <v>31</v>
      </c>
      <c r="G91" s="5">
        <v>35</v>
      </c>
      <c r="H91" s="5">
        <f t="shared" si="18"/>
        <v>29</v>
      </c>
      <c r="I91" s="5">
        <f t="shared" si="19"/>
        <v>28</v>
      </c>
      <c r="J91" s="8">
        <f t="shared" si="15"/>
        <v>3.7416573867739413</v>
      </c>
    </row>
    <row r="92" spans="2:10" ht="15" thickBot="1" x14ac:dyDescent="0.4">
      <c r="B92" s="4">
        <v>1000</v>
      </c>
      <c r="C92" s="5">
        <v>22</v>
      </c>
      <c r="D92" s="5">
        <v>23</v>
      </c>
      <c r="E92" s="5">
        <v>29</v>
      </c>
      <c r="F92" s="5">
        <v>33</v>
      </c>
      <c r="G92" s="5">
        <v>39</v>
      </c>
      <c r="H92" s="5">
        <f t="shared" si="18"/>
        <v>29.2</v>
      </c>
      <c r="I92" s="5">
        <f t="shared" si="19"/>
        <v>29</v>
      </c>
      <c r="J92" s="8">
        <f t="shared" si="15"/>
        <v>6.3371918071019442</v>
      </c>
    </row>
    <row r="93" spans="2:10" ht="15" thickBot="1" x14ac:dyDescent="0.4">
      <c r="B93" s="4">
        <v>2500</v>
      </c>
      <c r="C93" s="5">
        <v>24</v>
      </c>
      <c r="D93" s="5">
        <v>29</v>
      </c>
      <c r="E93" s="5">
        <v>35</v>
      </c>
      <c r="F93" s="5">
        <v>40</v>
      </c>
      <c r="G93" s="5">
        <v>46</v>
      </c>
      <c r="H93" s="5">
        <f t="shared" si="18"/>
        <v>34.799999999999997</v>
      </c>
      <c r="I93" s="5">
        <f t="shared" si="19"/>
        <v>35</v>
      </c>
      <c r="J93" s="8">
        <f t="shared" si="15"/>
        <v>7.7820305833374883</v>
      </c>
    </row>
    <row r="94" spans="2:10" x14ac:dyDescent="0.35">
      <c r="J94" s="11"/>
    </row>
    <row r="95" spans="2:10" ht="15" thickBot="1" x14ac:dyDescent="0.4">
      <c r="J95" s="11"/>
    </row>
    <row r="96" spans="2:10" ht="15" thickBot="1" x14ac:dyDescent="0.4">
      <c r="B96" s="19" t="s">
        <v>5</v>
      </c>
      <c r="C96" s="20"/>
      <c r="D96" s="20"/>
      <c r="E96" s="20"/>
      <c r="F96" s="20"/>
      <c r="G96" s="21"/>
      <c r="H96" s="3"/>
      <c r="I96" s="17"/>
      <c r="J96" s="8"/>
    </row>
    <row r="97" spans="2:10" ht="28.5" thickBot="1" x14ac:dyDescent="0.4">
      <c r="B97" s="4"/>
      <c r="C97" s="5">
        <v>1</v>
      </c>
      <c r="D97" s="5">
        <v>2</v>
      </c>
      <c r="E97" s="5">
        <v>3</v>
      </c>
      <c r="F97" s="5">
        <v>4</v>
      </c>
      <c r="G97" s="5">
        <v>5</v>
      </c>
      <c r="H97" s="5" t="s">
        <v>1</v>
      </c>
      <c r="I97" s="5" t="s">
        <v>2</v>
      </c>
      <c r="J97" s="13" t="s">
        <v>3</v>
      </c>
    </row>
    <row r="98" spans="2:10" ht="15" thickBot="1" x14ac:dyDescent="0.4">
      <c r="B98" s="4">
        <v>10</v>
      </c>
      <c r="C98" s="5">
        <v>17</v>
      </c>
      <c r="D98" s="5">
        <v>18</v>
      </c>
      <c r="E98" s="5">
        <v>21</v>
      </c>
      <c r="F98" s="5">
        <v>24</v>
      </c>
      <c r="G98" s="5">
        <v>25</v>
      </c>
      <c r="H98" s="5">
        <f>(G98+F98+E98+D98+C98)/5</f>
        <v>21</v>
      </c>
      <c r="I98" s="5">
        <f>E98</f>
        <v>21</v>
      </c>
      <c r="J98" s="9">
        <f t="shared" si="15"/>
        <v>3.1622776601683795</v>
      </c>
    </row>
    <row r="99" spans="2:10" ht="15" thickBot="1" x14ac:dyDescent="0.4">
      <c r="B99" s="4">
        <v>100</v>
      </c>
      <c r="C99" s="5">
        <v>17</v>
      </c>
      <c r="D99" s="5">
        <v>19</v>
      </c>
      <c r="E99" s="5">
        <v>22</v>
      </c>
      <c r="F99" s="5">
        <v>25</v>
      </c>
      <c r="G99" s="5">
        <v>27</v>
      </c>
      <c r="H99" s="5">
        <f t="shared" ref="H99:H103" si="20">(G99+F99+E99+D99+C99)/5</f>
        <v>22</v>
      </c>
      <c r="I99" s="5">
        <f t="shared" ref="I99:I103" si="21">E99</f>
        <v>22</v>
      </c>
      <c r="J99" s="8">
        <f t="shared" si="15"/>
        <v>3.687817782917155</v>
      </c>
    </row>
    <row r="100" spans="2:10" ht="15" thickBot="1" x14ac:dyDescent="0.4">
      <c r="B100" s="4">
        <v>200</v>
      </c>
      <c r="C100" s="5">
        <v>20</v>
      </c>
      <c r="D100" s="5">
        <v>21</v>
      </c>
      <c r="E100" s="5">
        <v>24</v>
      </c>
      <c r="F100" s="5">
        <v>27</v>
      </c>
      <c r="G100" s="5">
        <v>29</v>
      </c>
      <c r="H100" s="5">
        <f t="shared" si="20"/>
        <v>24.2</v>
      </c>
      <c r="I100" s="5">
        <f t="shared" si="21"/>
        <v>24</v>
      </c>
      <c r="J100" s="8">
        <f t="shared" si="15"/>
        <v>3.4292856398964493</v>
      </c>
    </row>
    <row r="101" spans="2:10" ht="15" thickBot="1" x14ac:dyDescent="0.4">
      <c r="B101" s="4">
        <v>500</v>
      </c>
      <c r="C101" s="5">
        <v>23</v>
      </c>
      <c r="D101" s="5">
        <v>25</v>
      </c>
      <c r="E101" s="5">
        <v>26</v>
      </c>
      <c r="F101" s="5">
        <v>29</v>
      </c>
      <c r="G101" s="5">
        <v>33</v>
      </c>
      <c r="H101" s="5">
        <f t="shared" si="20"/>
        <v>27.2</v>
      </c>
      <c r="I101" s="5">
        <f t="shared" si="21"/>
        <v>26</v>
      </c>
      <c r="J101" s="8">
        <f t="shared" si="15"/>
        <v>3.4871191548325386</v>
      </c>
    </row>
    <row r="102" spans="2:10" ht="15" thickBot="1" x14ac:dyDescent="0.4">
      <c r="B102" s="4">
        <v>1000</v>
      </c>
      <c r="C102" s="5">
        <v>46</v>
      </c>
      <c r="D102" s="5">
        <v>48</v>
      </c>
      <c r="E102" s="5">
        <v>55</v>
      </c>
      <c r="F102" s="5">
        <v>58</v>
      </c>
      <c r="G102" s="5">
        <v>62</v>
      </c>
      <c r="H102" s="5">
        <f t="shared" si="20"/>
        <v>53.8</v>
      </c>
      <c r="I102" s="5">
        <f t="shared" si="21"/>
        <v>55</v>
      </c>
      <c r="J102" s="8">
        <f t="shared" si="15"/>
        <v>6.0133185513491636</v>
      </c>
    </row>
    <row r="103" spans="2:10" ht="15" thickBot="1" x14ac:dyDescent="0.4">
      <c r="B103" s="4">
        <v>2500</v>
      </c>
      <c r="C103" s="5">
        <v>74</v>
      </c>
      <c r="D103" s="5">
        <v>78</v>
      </c>
      <c r="E103" s="5">
        <v>85</v>
      </c>
      <c r="F103" s="5">
        <v>105</v>
      </c>
      <c r="G103" s="5">
        <v>109</v>
      </c>
      <c r="H103" s="5">
        <f t="shared" si="20"/>
        <v>90.2</v>
      </c>
      <c r="I103" s="5">
        <f t="shared" si="21"/>
        <v>85</v>
      </c>
      <c r="J103" s="8">
        <f t="shared" si="15"/>
        <v>14.218298069740976</v>
      </c>
    </row>
    <row r="104" spans="2:10" x14ac:dyDescent="0.35">
      <c r="J104" s="11"/>
    </row>
    <row r="105" spans="2:10" ht="15" thickBot="1" x14ac:dyDescent="0.4">
      <c r="J105" s="11"/>
    </row>
    <row r="106" spans="2:10" ht="15" thickBot="1" x14ac:dyDescent="0.4">
      <c r="B106" s="19" t="s">
        <v>13</v>
      </c>
      <c r="C106" s="20"/>
      <c r="D106" s="20"/>
      <c r="E106" s="20"/>
      <c r="F106" s="20"/>
      <c r="G106" s="21"/>
      <c r="H106" s="3"/>
      <c r="I106" s="17"/>
      <c r="J106" s="8"/>
    </row>
    <row r="107" spans="2:10" ht="28.5" thickBot="1" x14ac:dyDescent="0.4">
      <c r="B107" s="4"/>
      <c r="C107" s="5">
        <v>1</v>
      </c>
      <c r="D107" s="5">
        <v>2</v>
      </c>
      <c r="E107" s="5">
        <v>3</v>
      </c>
      <c r="F107" s="5">
        <v>4</v>
      </c>
      <c r="G107" s="5">
        <v>5</v>
      </c>
      <c r="H107" s="5" t="s">
        <v>1</v>
      </c>
      <c r="I107" s="5" t="s">
        <v>2</v>
      </c>
      <c r="J107" s="13" t="s">
        <v>3</v>
      </c>
    </row>
    <row r="108" spans="2:10" ht="15" thickBot="1" x14ac:dyDescent="0.4">
      <c r="B108" s="4">
        <v>10</v>
      </c>
      <c r="C108" s="5">
        <v>13</v>
      </c>
      <c r="D108" s="5">
        <v>14</v>
      </c>
      <c r="E108" s="5">
        <v>16</v>
      </c>
      <c r="F108" s="5">
        <v>17</v>
      </c>
      <c r="G108" s="5">
        <v>19</v>
      </c>
      <c r="H108" s="5">
        <f>(G108+F108+E108+D108+C108)/5</f>
        <v>15.8</v>
      </c>
      <c r="I108" s="5">
        <f>E108</f>
        <v>16</v>
      </c>
      <c r="J108" s="8">
        <f t="shared" si="15"/>
        <v>2.1354156504062622</v>
      </c>
    </row>
    <row r="109" spans="2:10" ht="15" thickBot="1" x14ac:dyDescent="0.4">
      <c r="B109" s="4">
        <v>100</v>
      </c>
      <c r="C109" s="5">
        <v>15</v>
      </c>
      <c r="D109" s="5">
        <v>16</v>
      </c>
      <c r="E109" s="5">
        <v>19</v>
      </c>
      <c r="F109" s="5">
        <v>23</v>
      </c>
      <c r="G109" s="5">
        <v>24</v>
      </c>
      <c r="H109" s="5">
        <f t="shared" ref="H109:H112" si="22">(G109+F109+E109+D109+C109)/5</f>
        <v>19.399999999999999</v>
      </c>
      <c r="I109" s="5">
        <f t="shared" ref="I109:I113" si="23">E109</f>
        <v>19</v>
      </c>
      <c r="J109" s="8">
        <f t="shared" si="15"/>
        <v>3.6110940170535577</v>
      </c>
    </row>
    <row r="110" spans="2:10" ht="15" thickBot="1" x14ac:dyDescent="0.4">
      <c r="B110" s="4">
        <v>200</v>
      </c>
      <c r="C110" s="5">
        <v>18</v>
      </c>
      <c r="D110" s="5">
        <v>21</v>
      </c>
      <c r="E110" s="5">
        <v>23</v>
      </c>
      <c r="F110" s="5">
        <v>28</v>
      </c>
      <c r="G110" s="5">
        <v>29</v>
      </c>
      <c r="H110" s="5">
        <f t="shared" si="22"/>
        <v>23.8</v>
      </c>
      <c r="I110" s="5">
        <f t="shared" si="23"/>
        <v>23</v>
      </c>
      <c r="J110" s="8">
        <f t="shared" si="15"/>
        <v>4.1665333311999317</v>
      </c>
    </row>
    <row r="111" spans="2:10" ht="15" thickBot="1" x14ac:dyDescent="0.4">
      <c r="B111" s="4">
        <v>500</v>
      </c>
      <c r="C111" s="5">
        <v>22</v>
      </c>
      <c r="D111" s="5">
        <v>24</v>
      </c>
      <c r="E111" s="5">
        <v>26</v>
      </c>
      <c r="F111" s="5">
        <v>30</v>
      </c>
      <c r="G111" s="5">
        <v>32</v>
      </c>
      <c r="H111" s="5">
        <f t="shared" si="22"/>
        <v>26.8</v>
      </c>
      <c r="I111" s="5">
        <f t="shared" si="23"/>
        <v>26</v>
      </c>
      <c r="J111" s="8">
        <f t="shared" si="15"/>
        <v>3.7094473981982814</v>
      </c>
    </row>
    <row r="112" spans="2:10" ht="15" thickBot="1" x14ac:dyDescent="0.4">
      <c r="B112" s="4">
        <v>1000</v>
      </c>
      <c r="C112" s="5">
        <v>26</v>
      </c>
      <c r="D112" s="5">
        <v>28</v>
      </c>
      <c r="E112" s="5">
        <v>32</v>
      </c>
      <c r="F112" s="5">
        <v>36</v>
      </c>
      <c r="G112" s="5">
        <v>42</v>
      </c>
      <c r="H112" s="5">
        <f t="shared" si="22"/>
        <v>32.799999999999997</v>
      </c>
      <c r="I112" s="5">
        <f t="shared" si="23"/>
        <v>32</v>
      </c>
      <c r="J112" s="10">
        <f t="shared" si="15"/>
        <v>5.7410800377629299</v>
      </c>
    </row>
    <row r="113" spans="2:10" ht="15" thickBot="1" x14ac:dyDescent="0.4">
      <c r="B113" s="4">
        <v>2500</v>
      </c>
      <c r="C113" s="5">
        <v>28</v>
      </c>
      <c r="D113" s="5">
        <v>35</v>
      </c>
      <c r="E113" s="5">
        <v>42</v>
      </c>
      <c r="F113" s="5">
        <v>43</v>
      </c>
      <c r="G113" s="5">
        <v>45</v>
      </c>
      <c r="H113" s="5">
        <f>(G113+F113+E113+D113+C113)/5</f>
        <v>38.6</v>
      </c>
      <c r="I113" s="5">
        <f t="shared" si="23"/>
        <v>42</v>
      </c>
      <c r="J113" s="8">
        <f t="shared" si="15"/>
        <v>6.2801273872430325</v>
      </c>
    </row>
    <row r="114" spans="2:10" x14ac:dyDescent="0.35">
      <c r="J114" s="11"/>
    </row>
    <row r="115" spans="2:10" ht="15" thickBot="1" x14ac:dyDescent="0.4">
      <c r="J115" s="11"/>
    </row>
    <row r="116" spans="2:10" ht="15" thickBot="1" x14ac:dyDescent="0.4">
      <c r="B116" s="19" t="s">
        <v>14</v>
      </c>
      <c r="C116" s="20"/>
      <c r="D116" s="20"/>
      <c r="E116" s="20"/>
      <c r="F116" s="20"/>
      <c r="G116" s="21"/>
      <c r="H116" s="3"/>
      <c r="I116" s="17"/>
      <c r="J116" s="8"/>
    </row>
    <row r="117" spans="2:10" ht="28.5" thickBot="1" x14ac:dyDescent="0.4">
      <c r="B117" s="4"/>
      <c r="C117" s="5">
        <v>1</v>
      </c>
      <c r="D117" s="5">
        <v>2</v>
      </c>
      <c r="E117" s="5">
        <v>3</v>
      </c>
      <c r="F117" s="5">
        <v>4</v>
      </c>
      <c r="G117" s="5">
        <v>5</v>
      </c>
      <c r="H117" s="5" t="s">
        <v>1</v>
      </c>
      <c r="I117" s="5" t="s">
        <v>2</v>
      </c>
      <c r="J117" s="13" t="s">
        <v>3</v>
      </c>
    </row>
    <row r="118" spans="2:10" ht="15" thickBot="1" x14ac:dyDescent="0.4">
      <c r="B118" s="4">
        <v>10</v>
      </c>
      <c r="C118" s="5">
        <v>17</v>
      </c>
      <c r="D118" s="5">
        <v>19</v>
      </c>
      <c r="E118" s="5">
        <v>21</v>
      </c>
      <c r="F118" s="5">
        <v>23</v>
      </c>
      <c r="G118" s="5">
        <v>24</v>
      </c>
      <c r="H118" s="5">
        <f>(G118+F118+E118+D118+C118)/5</f>
        <v>20.8</v>
      </c>
      <c r="I118" s="5">
        <f>E118</f>
        <v>21</v>
      </c>
      <c r="J118" s="9">
        <f t="shared" si="15"/>
        <v>2.5612496949731396</v>
      </c>
    </row>
    <row r="119" spans="2:10" ht="15" thickBot="1" x14ac:dyDescent="0.4">
      <c r="B119" s="4">
        <v>100</v>
      </c>
      <c r="C119" s="5">
        <v>16</v>
      </c>
      <c r="D119" s="5">
        <v>17</v>
      </c>
      <c r="E119" s="5">
        <v>22</v>
      </c>
      <c r="F119" s="5">
        <v>25</v>
      </c>
      <c r="G119" s="5">
        <v>28</v>
      </c>
      <c r="H119" s="5">
        <f t="shared" ref="H119:H123" si="24">(G119+F119+E119+D119+C119)/5</f>
        <v>21.6</v>
      </c>
      <c r="I119" s="5">
        <f t="shared" ref="I119:I123" si="25">E119</f>
        <v>22</v>
      </c>
      <c r="J119" s="8">
        <f t="shared" si="15"/>
        <v>4.5869379764718863</v>
      </c>
    </row>
    <row r="120" spans="2:10" ht="15" thickBot="1" x14ac:dyDescent="0.4">
      <c r="B120" s="4">
        <v>200</v>
      </c>
      <c r="C120" s="5">
        <v>17</v>
      </c>
      <c r="D120" s="5">
        <v>24</v>
      </c>
      <c r="E120" s="5">
        <v>25</v>
      </c>
      <c r="F120" s="5">
        <v>28</v>
      </c>
      <c r="G120" s="5">
        <v>30</v>
      </c>
      <c r="H120" s="5">
        <f t="shared" si="24"/>
        <v>24.8</v>
      </c>
      <c r="I120" s="5">
        <f t="shared" si="25"/>
        <v>25</v>
      </c>
      <c r="J120" s="8">
        <f t="shared" si="15"/>
        <v>4.4452221541785732</v>
      </c>
    </row>
    <row r="121" spans="2:10" ht="15" thickBot="1" x14ac:dyDescent="0.4">
      <c r="B121" s="4">
        <v>500</v>
      </c>
      <c r="C121" s="5">
        <v>23</v>
      </c>
      <c r="D121" s="5">
        <v>26</v>
      </c>
      <c r="E121" s="5">
        <v>28</v>
      </c>
      <c r="F121" s="5">
        <v>32</v>
      </c>
      <c r="G121" s="5">
        <v>33</v>
      </c>
      <c r="H121" s="5">
        <f t="shared" si="24"/>
        <v>28.4</v>
      </c>
      <c r="I121" s="5">
        <f t="shared" si="25"/>
        <v>28</v>
      </c>
      <c r="J121" s="8">
        <f t="shared" si="15"/>
        <v>3.7202150475476548</v>
      </c>
    </row>
    <row r="122" spans="2:10" ht="15" thickBot="1" x14ac:dyDescent="0.4">
      <c r="B122" s="4">
        <v>1000</v>
      </c>
      <c r="C122" s="5">
        <v>27</v>
      </c>
      <c r="D122" s="5">
        <v>29</v>
      </c>
      <c r="E122" s="5">
        <v>35</v>
      </c>
      <c r="F122" s="5">
        <v>40</v>
      </c>
      <c r="G122" s="5">
        <v>43</v>
      </c>
      <c r="H122" s="5">
        <f t="shared" si="24"/>
        <v>34.799999999999997</v>
      </c>
      <c r="I122" s="5">
        <f t="shared" si="25"/>
        <v>35</v>
      </c>
      <c r="J122" s="10">
        <f t="shared" si="15"/>
        <v>6.1449165982948868</v>
      </c>
    </row>
    <row r="123" spans="2:10" ht="15" thickBot="1" x14ac:dyDescent="0.4">
      <c r="B123" s="4">
        <v>2500</v>
      </c>
      <c r="C123" s="5">
        <v>31</v>
      </c>
      <c r="D123" s="5">
        <v>38</v>
      </c>
      <c r="E123" s="5">
        <v>43</v>
      </c>
      <c r="F123" s="5">
        <v>51</v>
      </c>
      <c r="G123" s="5">
        <v>66</v>
      </c>
      <c r="H123" s="5">
        <f t="shared" si="24"/>
        <v>45.8</v>
      </c>
      <c r="I123" s="5">
        <f t="shared" si="25"/>
        <v>43</v>
      </c>
      <c r="J123" s="8">
        <f t="shared" si="15"/>
        <v>12.023310692151309</v>
      </c>
    </row>
    <row r="124" spans="2:10" x14ac:dyDescent="0.35">
      <c r="J124" s="11"/>
    </row>
    <row r="125" spans="2:10" ht="15" thickBot="1" x14ac:dyDescent="0.4">
      <c r="J125" s="11"/>
    </row>
    <row r="126" spans="2:10" ht="15" thickBot="1" x14ac:dyDescent="0.4">
      <c r="B126" s="19" t="s">
        <v>8</v>
      </c>
      <c r="C126" s="20"/>
      <c r="D126" s="20"/>
      <c r="E126" s="20"/>
      <c r="F126" s="20"/>
      <c r="G126" s="21"/>
      <c r="H126" s="3"/>
      <c r="I126" s="17"/>
      <c r="J126" s="8"/>
    </row>
    <row r="127" spans="2:10" ht="28.5" thickBot="1" x14ac:dyDescent="0.4">
      <c r="B127" s="4"/>
      <c r="C127" s="5">
        <v>1</v>
      </c>
      <c r="D127" s="5">
        <v>2</v>
      </c>
      <c r="E127" s="5">
        <v>3</v>
      </c>
      <c r="F127" s="5">
        <v>4</v>
      </c>
      <c r="G127" s="5">
        <v>5</v>
      </c>
      <c r="H127" s="5" t="s">
        <v>1</v>
      </c>
      <c r="I127" s="5" t="s">
        <v>2</v>
      </c>
      <c r="J127" s="13" t="s">
        <v>3</v>
      </c>
    </row>
    <row r="128" spans="2:10" ht="15" thickBot="1" x14ac:dyDescent="0.4">
      <c r="B128" s="4">
        <v>1</v>
      </c>
      <c r="C128" s="5">
        <v>17</v>
      </c>
      <c r="D128" s="5">
        <v>19</v>
      </c>
      <c r="E128" s="5">
        <v>24</v>
      </c>
      <c r="F128" s="5">
        <v>25</v>
      </c>
      <c r="G128" s="5">
        <v>29</v>
      </c>
      <c r="H128" s="5">
        <f>(G128+F128+E128+D128+C128)/5</f>
        <v>22.8</v>
      </c>
      <c r="I128" s="5">
        <f>E128</f>
        <v>24</v>
      </c>
      <c r="J128" s="8">
        <f t="shared" si="15"/>
        <v>4.308131845707603</v>
      </c>
    </row>
    <row r="129" spans="2:10" ht="15" thickBot="1" x14ac:dyDescent="0.4">
      <c r="B129" s="4">
        <v>3</v>
      </c>
      <c r="C129" s="5">
        <v>21</v>
      </c>
      <c r="D129" s="5">
        <v>22</v>
      </c>
      <c r="E129" s="5">
        <v>27</v>
      </c>
      <c r="F129" s="5">
        <v>29</v>
      </c>
      <c r="G129" s="5">
        <v>30</v>
      </c>
      <c r="H129" s="5">
        <f t="shared" ref="H129:H133" si="26">(G129+F129+E129+D129+C129)/5</f>
        <v>25.8</v>
      </c>
      <c r="I129" s="5">
        <f t="shared" ref="I129:I133" si="27">E129</f>
        <v>27</v>
      </c>
      <c r="J129" s="8">
        <f t="shared" si="15"/>
        <v>3.6551333764994132</v>
      </c>
    </row>
    <row r="130" spans="2:10" ht="15" thickBot="1" x14ac:dyDescent="0.4">
      <c r="B130" s="4">
        <v>5</v>
      </c>
      <c r="C130" s="5">
        <v>23</v>
      </c>
      <c r="D130" s="5">
        <v>25</v>
      </c>
      <c r="E130" s="5">
        <v>29</v>
      </c>
      <c r="F130" s="5">
        <v>31</v>
      </c>
      <c r="G130" s="5">
        <v>34</v>
      </c>
      <c r="H130" s="5">
        <f t="shared" si="26"/>
        <v>28.4</v>
      </c>
      <c r="I130" s="5">
        <f t="shared" si="27"/>
        <v>29</v>
      </c>
      <c r="J130" s="8">
        <f t="shared" si="15"/>
        <v>3.9799497484264799</v>
      </c>
    </row>
    <row r="131" spans="2:10" ht="15" thickBot="1" x14ac:dyDescent="0.4">
      <c r="B131" s="4">
        <v>8</v>
      </c>
      <c r="C131" s="5">
        <v>24</v>
      </c>
      <c r="D131" s="5">
        <v>27</v>
      </c>
      <c r="E131" s="5">
        <v>31</v>
      </c>
      <c r="F131" s="5">
        <v>38</v>
      </c>
      <c r="G131" s="5">
        <v>39</v>
      </c>
      <c r="H131" s="5">
        <f t="shared" si="26"/>
        <v>31.8</v>
      </c>
      <c r="I131" s="5">
        <f t="shared" si="27"/>
        <v>31</v>
      </c>
      <c r="J131" s="8">
        <f t="shared" si="15"/>
        <v>5.9126981996377932</v>
      </c>
    </row>
    <row r="132" spans="2:10" ht="15" thickBot="1" x14ac:dyDescent="0.4">
      <c r="B132" s="4">
        <v>10</v>
      </c>
      <c r="C132" s="5">
        <v>29</v>
      </c>
      <c r="D132" s="5">
        <v>31</v>
      </c>
      <c r="E132" s="5">
        <v>38</v>
      </c>
      <c r="F132" s="5">
        <v>39</v>
      </c>
      <c r="G132" s="5">
        <v>45</v>
      </c>
      <c r="H132" s="5">
        <f t="shared" si="26"/>
        <v>36.4</v>
      </c>
      <c r="I132" s="5">
        <f t="shared" si="27"/>
        <v>38</v>
      </c>
      <c r="J132" s="10">
        <f t="shared" si="15"/>
        <v>5.7827329179203844</v>
      </c>
    </row>
    <row r="133" spans="2:10" ht="15" thickBot="1" x14ac:dyDescent="0.4">
      <c r="B133" s="4">
        <v>11</v>
      </c>
      <c r="C133" s="5">
        <v>33</v>
      </c>
      <c r="D133" s="5">
        <v>36</v>
      </c>
      <c r="E133" s="5">
        <v>41</v>
      </c>
      <c r="F133" s="5">
        <v>42</v>
      </c>
      <c r="G133" s="5">
        <v>47</v>
      </c>
      <c r="H133" s="5">
        <f t="shared" si="26"/>
        <v>39.799999999999997</v>
      </c>
      <c r="I133" s="5">
        <f t="shared" si="27"/>
        <v>41</v>
      </c>
      <c r="J133" s="8">
        <f t="shared" si="15"/>
        <v>4.8744230427815758</v>
      </c>
    </row>
    <row r="134" spans="2:10" x14ac:dyDescent="0.35">
      <c r="J134" s="11"/>
    </row>
    <row r="135" spans="2:10" ht="15" thickBot="1" x14ac:dyDescent="0.4">
      <c r="J135" s="11"/>
    </row>
    <row r="136" spans="2:10" ht="15" thickBot="1" x14ac:dyDescent="0.4">
      <c r="B136" s="19" t="s">
        <v>9</v>
      </c>
      <c r="C136" s="20"/>
      <c r="D136" s="20"/>
      <c r="E136" s="20"/>
      <c r="F136" s="20"/>
      <c r="G136" s="21"/>
      <c r="H136" s="3"/>
      <c r="I136" s="17"/>
      <c r="J136" s="8"/>
    </row>
    <row r="137" spans="2:10" ht="28.5" thickBot="1" x14ac:dyDescent="0.4">
      <c r="B137" s="4"/>
      <c r="C137" s="5">
        <v>1</v>
      </c>
      <c r="D137" s="5">
        <v>2</v>
      </c>
      <c r="E137" s="5">
        <v>3</v>
      </c>
      <c r="F137" s="5">
        <v>4</v>
      </c>
      <c r="G137" s="5">
        <v>5</v>
      </c>
      <c r="H137" s="5" t="s">
        <v>1</v>
      </c>
      <c r="I137" s="5" t="s">
        <v>2</v>
      </c>
      <c r="J137" s="13" t="s">
        <v>3</v>
      </c>
    </row>
    <row r="138" spans="2:10" ht="15" thickBot="1" x14ac:dyDescent="0.4">
      <c r="B138" s="4">
        <v>1</v>
      </c>
      <c r="C138" s="5">
        <v>17</v>
      </c>
      <c r="D138" s="5">
        <v>19</v>
      </c>
      <c r="E138" s="5">
        <v>23</v>
      </c>
      <c r="F138" s="5">
        <v>29</v>
      </c>
      <c r="G138" s="5">
        <v>31</v>
      </c>
      <c r="H138" s="5">
        <f>(G138+F138+E138+D138+C138)/5</f>
        <v>23.8</v>
      </c>
      <c r="I138" s="5">
        <f>E138</f>
        <v>23</v>
      </c>
      <c r="J138" s="8">
        <f t="shared" ref="J138:J195" si="28">(((C138-H138)^2 +(D138-H138)^2 + (E138-H138)^2 + (F138-H138)^2 + (G138-H138)^2)/5)^0.5</f>
        <v>5.4552726787943424</v>
      </c>
    </row>
    <row r="139" spans="2:10" ht="15" thickBot="1" x14ac:dyDescent="0.4">
      <c r="B139" s="4">
        <v>3</v>
      </c>
      <c r="C139" s="5">
        <v>21</v>
      </c>
      <c r="D139" s="5">
        <v>23</v>
      </c>
      <c r="E139" s="5">
        <v>25</v>
      </c>
      <c r="F139" s="5">
        <v>30</v>
      </c>
      <c r="G139" s="5">
        <v>36</v>
      </c>
      <c r="H139" s="5">
        <f t="shared" ref="H139:H143" si="29">(G139+F139+E139+D139+C139)/5</f>
        <v>27</v>
      </c>
      <c r="I139" s="5">
        <f t="shared" ref="I139:I143" si="30">E139</f>
        <v>25</v>
      </c>
      <c r="J139" s="8">
        <f t="shared" si="28"/>
        <v>5.4037024344425184</v>
      </c>
    </row>
    <row r="140" spans="2:10" ht="15" thickBot="1" x14ac:dyDescent="0.4">
      <c r="B140" s="4">
        <v>5</v>
      </c>
      <c r="C140" s="5">
        <v>23</v>
      </c>
      <c r="D140" s="5">
        <v>24</v>
      </c>
      <c r="E140" s="5">
        <v>28</v>
      </c>
      <c r="F140" s="5">
        <v>32</v>
      </c>
      <c r="G140" s="5">
        <v>38</v>
      </c>
      <c r="H140" s="5">
        <f t="shared" si="29"/>
        <v>29</v>
      </c>
      <c r="I140" s="5">
        <f t="shared" si="30"/>
        <v>28</v>
      </c>
      <c r="J140" s="8">
        <f t="shared" si="28"/>
        <v>5.5136195008360884</v>
      </c>
    </row>
    <row r="141" spans="2:10" ht="15" thickBot="1" x14ac:dyDescent="0.4">
      <c r="B141" s="4">
        <v>8</v>
      </c>
      <c r="C141" s="5">
        <v>36</v>
      </c>
      <c r="D141" s="5">
        <v>46</v>
      </c>
      <c r="E141" s="5">
        <v>50</v>
      </c>
      <c r="F141" s="5">
        <v>57</v>
      </c>
      <c r="G141" s="5">
        <v>60</v>
      </c>
      <c r="H141" s="5">
        <f t="shared" si="29"/>
        <v>49.8</v>
      </c>
      <c r="I141" s="5">
        <f t="shared" si="30"/>
        <v>50</v>
      </c>
      <c r="J141" s="8">
        <f t="shared" si="28"/>
        <v>8.4947042326381208</v>
      </c>
    </row>
    <row r="142" spans="2:10" ht="15" thickBot="1" x14ac:dyDescent="0.4">
      <c r="B142" s="4">
        <v>10</v>
      </c>
      <c r="C142" s="5">
        <v>1890</v>
      </c>
      <c r="D142" s="5">
        <v>1935</v>
      </c>
      <c r="E142" s="5">
        <v>2009</v>
      </c>
      <c r="F142" s="5">
        <v>2095</v>
      </c>
      <c r="G142" s="5">
        <v>2305</v>
      </c>
      <c r="H142" s="5">
        <f t="shared" si="29"/>
        <v>2046.8</v>
      </c>
      <c r="I142" s="5">
        <f t="shared" si="30"/>
        <v>2009</v>
      </c>
      <c r="J142" s="10">
        <f t="shared" si="28"/>
        <v>146.63205652243985</v>
      </c>
    </row>
    <row r="143" spans="2:10" ht="15" thickBot="1" x14ac:dyDescent="0.4">
      <c r="B143" s="4">
        <v>11</v>
      </c>
      <c r="C143" s="5">
        <v>8929</v>
      </c>
      <c r="D143" s="5">
        <v>9624</v>
      </c>
      <c r="E143" s="5">
        <v>9831</v>
      </c>
      <c r="F143" s="5">
        <v>10421</v>
      </c>
      <c r="G143" s="5">
        <v>11832</v>
      </c>
      <c r="H143" s="5">
        <f t="shared" si="29"/>
        <v>10127.4</v>
      </c>
      <c r="I143" s="5">
        <f t="shared" si="30"/>
        <v>9831</v>
      </c>
      <c r="J143" s="8">
        <f t="shared" si="28"/>
        <v>976.65645955985974</v>
      </c>
    </row>
    <row r="144" spans="2:10" x14ac:dyDescent="0.35">
      <c r="J144" s="11"/>
    </row>
    <row r="145" spans="2:10" x14ac:dyDescent="0.35">
      <c r="J145" s="11"/>
    </row>
    <row r="146" spans="2:10" ht="29" x14ac:dyDescent="0.35">
      <c r="B146" s="15" t="s">
        <v>15</v>
      </c>
      <c r="J146" s="11"/>
    </row>
    <row r="147" spans="2:10" ht="15" thickBot="1" x14ac:dyDescent="0.4">
      <c r="J147" s="11"/>
    </row>
    <row r="148" spans="2:10" ht="15" thickBot="1" x14ac:dyDescent="0.4">
      <c r="B148" s="19" t="s">
        <v>0</v>
      </c>
      <c r="C148" s="20"/>
      <c r="D148" s="20"/>
      <c r="E148" s="20"/>
      <c r="F148" s="20"/>
      <c r="G148" s="21"/>
      <c r="H148" s="3"/>
      <c r="I148" s="17"/>
      <c r="J148" s="8"/>
    </row>
    <row r="149" spans="2:10" ht="28.5" thickBot="1" x14ac:dyDescent="0.4">
      <c r="B149" s="4"/>
      <c r="C149" s="5">
        <v>1</v>
      </c>
      <c r="D149" s="5">
        <v>2</v>
      </c>
      <c r="E149" s="5">
        <v>3</v>
      </c>
      <c r="F149" s="5">
        <v>4</v>
      </c>
      <c r="G149" s="5">
        <v>5</v>
      </c>
      <c r="H149" s="5" t="s">
        <v>1</v>
      </c>
      <c r="I149" s="5" t="s">
        <v>2</v>
      </c>
      <c r="J149" s="13" t="s">
        <v>3</v>
      </c>
    </row>
    <row r="150" spans="2:10" ht="15" thickBot="1" x14ac:dyDescent="0.4">
      <c r="B150" s="4">
        <v>10</v>
      </c>
      <c r="C150" s="5">
        <v>12</v>
      </c>
      <c r="D150" s="5">
        <v>20</v>
      </c>
      <c r="E150" s="5">
        <v>27</v>
      </c>
      <c r="F150" s="5">
        <v>34</v>
      </c>
      <c r="G150" s="5">
        <v>41</v>
      </c>
      <c r="H150" s="5">
        <f>(G150+F150+E150+D150+C150)/5</f>
        <v>26.8</v>
      </c>
      <c r="I150" s="5">
        <f>E150</f>
        <v>27</v>
      </c>
      <c r="J150" s="8">
        <f t="shared" si="28"/>
        <v>10.186265262597475</v>
      </c>
    </row>
    <row r="151" spans="2:10" ht="15" thickBot="1" x14ac:dyDescent="0.4">
      <c r="B151" s="4">
        <v>100</v>
      </c>
      <c r="C151" s="5">
        <v>30</v>
      </c>
      <c r="D151" s="5">
        <v>46</v>
      </c>
      <c r="E151" s="5">
        <v>48</v>
      </c>
      <c r="F151" s="5">
        <v>53</v>
      </c>
      <c r="G151" s="5">
        <v>53</v>
      </c>
      <c r="H151" s="5">
        <f t="shared" ref="H151:H155" si="31">(G151+F151+E151+D151+C151)/5</f>
        <v>46</v>
      </c>
      <c r="I151" s="5">
        <f t="shared" ref="I151:I155" si="32">E151</f>
        <v>48</v>
      </c>
      <c r="J151" s="8">
        <f t="shared" si="28"/>
        <v>8.4616783205224717</v>
      </c>
    </row>
    <row r="152" spans="2:10" ht="15" thickBot="1" x14ac:dyDescent="0.4">
      <c r="B152" s="4">
        <v>200</v>
      </c>
      <c r="C152" s="5">
        <v>50</v>
      </c>
      <c r="D152" s="5">
        <v>52</v>
      </c>
      <c r="E152" s="5">
        <v>63</v>
      </c>
      <c r="F152" s="5">
        <v>67</v>
      </c>
      <c r="G152" s="5">
        <v>68</v>
      </c>
      <c r="H152" s="5">
        <f t="shared" si="31"/>
        <v>60</v>
      </c>
      <c r="I152" s="5">
        <f t="shared" si="32"/>
        <v>63</v>
      </c>
      <c r="J152" s="8">
        <f t="shared" si="28"/>
        <v>7.5630681604756154</v>
      </c>
    </row>
    <row r="153" spans="2:10" ht="15" thickBot="1" x14ac:dyDescent="0.4">
      <c r="B153" s="4">
        <v>500</v>
      </c>
      <c r="C153" s="5">
        <v>22</v>
      </c>
      <c r="D153" s="5">
        <v>29</v>
      </c>
      <c r="E153" s="5">
        <v>42</v>
      </c>
      <c r="F153" s="5">
        <v>53</v>
      </c>
      <c r="G153" s="5">
        <v>67</v>
      </c>
      <c r="H153" s="5">
        <f t="shared" si="31"/>
        <v>42.6</v>
      </c>
      <c r="I153" s="5">
        <f t="shared" si="32"/>
        <v>42</v>
      </c>
      <c r="J153" s="8">
        <f t="shared" si="28"/>
        <v>16.206171663906314</v>
      </c>
    </row>
    <row r="154" spans="2:10" ht="15" thickBot="1" x14ac:dyDescent="0.4">
      <c r="B154" s="4">
        <v>1000</v>
      </c>
      <c r="C154" s="5">
        <v>33</v>
      </c>
      <c r="D154" s="5">
        <v>48</v>
      </c>
      <c r="E154" s="5">
        <v>59</v>
      </c>
      <c r="F154" s="5">
        <v>79</v>
      </c>
      <c r="G154" s="5">
        <v>80</v>
      </c>
      <c r="H154" s="5">
        <f t="shared" si="31"/>
        <v>59.8</v>
      </c>
      <c r="I154" s="5">
        <f t="shared" si="32"/>
        <v>59</v>
      </c>
      <c r="J154" s="10">
        <f t="shared" si="28"/>
        <v>18.082035283673129</v>
      </c>
    </row>
    <row r="155" spans="2:10" ht="15" thickBot="1" x14ac:dyDescent="0.4">
      <c r="B155" s="4">
        <v>2500</v>
      </c>
      <c r="C155" s="5">
        <v>36</v>
      </c>
      <c r="D155" s="5">
        <v>47</v>
      </c>
      <c r="E155" s="5">
        <v>61</v>
      </c>
      <c r="F155" s="5">
        <v>65</v>
      </c>
      <c r="G155" s="5">
        <v>97</v>
      </c>
      <c r="H155" s="5">
        <f t="shared" si="31"/>
        <v>61.2</v>
      </c>
      <c r="I155" s="5">
        <f t="shared" si="32"/>
        <v>61</v>
      </c>
      <c r="J155" s="8">
        <f t="shared" si="28"/>
        <v>20.65332902948094</v>
      </c>
    </row>
    <row r="156" spans="2:10" x14ac:dyDescent="0.35">
      <c r="J156" s="11"/>
    </row>
    <row r="157" spans="2:10" ht="15" thickBot="1" x14ac:dyDescent="0.4">
      <c r="J157" s="11"/>
    </row>
    <row r="158" spans="2:10" ht="15" thickBot="1" x14ac:dyDescent="0.4">
      <c r="B158" s="19" t="s">
        <v>4</v>
      </c>
      <c r="C158" s="20"/>
      <c r="D158" s="20"/>
      <c r="E158" s="20"/>
      <c r="F158" s="20"/>
      <c r="G158" s="21"/>
      <c r="H158" s="3"/>
      <c r="I158" s="17"/>
      <c r="J158" s="8"/>
    </row>
    <row r="159" spans="2:10" ht="28.5" thickBot="1" x14ac:dyDescent="0.4">
      <c r="B159" s="4"/>
      <c r="C159" s="5">
        <v>1</v>
      </c>
      <c r="D159" s="5">
        <v>2</v>
      </c>
      <c r="E159" s="5">
        <v>3</v>
      </c>
      <c r="F159" s="5">
        <v>4</v>
      </c>
      <c r="G159" s="5">
        <v>5</v>
      </c>
      <c r="H159" s="5" t="s">
        <v>1</v>
      </c>
      <c r="I159" s="5" t="s">
        <v>2</v>
      </c>
      <c r="J159" s="13" t="s">
        <v>3</v>
      </c>
    </row>
    <row r="160" spans="2:10" ht="15" thickBot="1" x14ac:dyDescent="0.4">
      <c r="B160" s="4">
        <v>10</v>
      </c>
      <c r="C160" s="5">
        <v>45</v>
      </c>
      <c r="D160" s="5">
        <v>47</v>
      </c>
      <c r="E160" s="5">
        <v>62</v>
      </c>
      <c r="F160" s="5">
        <v>63</v>
      </c>
      <c r="G160" s="5">
        <v>68</v>
      </c>
      <c r="H160" s="5">
        <f>(G160+F160+E160+D160+C160)/5</f>
        <v>57</v>
      </c>
      <c r="I160" s="5">
        <f>E160</f>
        <v>62</v>
      </c>
      <c r="J160" s="8">
        <f t="shared" si="28"/>
        <v>9.2303846073714606</v>
      </c>
    </row>
    <row r="161" spans="2:10" ht="15" thickBot="1" x14ac:dyDescent="0.4">
      <c r="B161" s="4">
        <v>100</v>
      </c>
      <c r="C161" s="5">
        <v>46</v>
      </c>
      <c r="D161" s="5">
        <v>50</v>
      </c>
      <c r="E161" s="5">
        <v>67</v>
      </c>
      <c r="F161" s="5">
        <v>71</v>
      </c>
      <c r="G161" s="5">
        <v>73</v>
      </c>
      <c r="H161" s="5">
        <f t="shared" ref="H161:H165" si="33">(G161+F161+E161+D161+C161)/5</f>
        <v>61.4</v>
      </c>
      <c r="I161" s="5">
        <f t="shared" ref="I161:I165" si="34">E161</f>
        <v>67</v>
      </c>
      <c r="J161" s="8">
        <f t="shared" si="28"/>
        <v>11.18212859879549</v>
      </c>
    </row>
    <row r="162" spans="2:10" ht="15" thickBot="1" x14ac:dyDescent="0.4">
      <c r="B162" s="4">
        <v>200</v>
      </c>
      <c r="C162" s="5">
        <v>45</v>
      </c>
      <c r="D162" s="5">
        <v>54</v>
      </c>
      <c r="E162" s="5">
        <v>55</v>
      </c>
      <c r="F162" s="5">
        <v>72</v>
      </c>
      <c r="G162" s="5">
        <v>76</v>
      </c>
      <c r="H162" s="5">
        <f t="shared" si="33"/>
        <v>60.4</v>
      </c>
      <c r="I162" s="5">
        <f t="shared" si="34"/>
        <v>55</v>
      </c>
      <c r="J162" s="8">
        <f t="shared" si="28"/>
        <v>11.706408501329518</v>
      </c>
    </row>
    <row r="163" spans="2:10" ht="15" thickBot="1" x14ac:dyDescent="0.4">
      <c r="B163" s="4">
        <v>500</v>
      </c>
      <c r="C163" s="5">
        <v>51</v>
      </c>
      <c r="D163" s="5">
        <v>58</v>
      </c>
      <c r="E163" s="5">
        <v>72</v>
      </c>
      <c r="F163" s="5">
        <v>77</v>
      </c>
      <c r="G163" s="5">
        <v>90</v>
      </c>
      <c r="H163" s="5">
        <f t="shared" si="33"/>
        <v>69.599999999999994</v>
      </c>
      <c r="I163" s="5">
        <f t="shared" si="34"/>
        <v>72</v>
      </c>
      <c r="J163" s="8">
        <f t="shared" si="28"/>
        <v>13.836184445142381</v>
      </c>
    </row>
    <row r="164" spans="2:10" ht="15" thickBot="1" x14ac:dyDescent="0.4">
      <c r="B164" s="4">
        <v>1000</v>
      </c>
      <c r="C164" s="5">
        <v>62</v>
      </c>
      <c r="D164" s="5">
        <v>64</v>
      </c>
      <c r="E164" s="5">
        <v>74</v>
      </c>
      <c r="F164" s="5">
        <v>82</v>
      </c>
      <c r="G164" s="5">
        <v>106</v>
      </c>
      <c r="H164" s="5">
        <f t="shared" si="33"/>
        <v>77.599999999999994</v>
      </c>
      <c r="I164" s="5">
        <f t="shared" si="34"/>
        <v>74</v>
      </c>
      <c r="J164" s="10">
        <f t="shared" si="28"/>
        <v>15.919798993705919</v>
      </c>
    </row>
    <row r="165" spans="2:10" ht="15" thickBot="1" x14ac:dyDescent="0.4">
      <c r="B165" s="4">
        <v>2500</v>
      </c>
      <c r="C165" s="5">
        <v>64</v>
      </c>
      <c r="D165" s="5">
        <v>72</v>
      </c>
      <c r="E165" s="5">
        <v>80</v>
      </c>
      <c r="F165" s="5">
        <v>86</v>
      </c>
      <c r="G165" s="5">
        <v>103</v>
      </c>
      <c r="H165" s="5">
        <f t="shared" si="33"/>
        <v>81</v>
      </c>
      <c r="I165" s="5">
        <f t="shared" si="34"/>
        <v>80</v>
      </c>
      <c r="J165" s="8">
        <f t="shared" si="28"/>
        <v>13.266499161421599</v>
      </c>
    </row>
    <row r="166" spans="2:10" x14ac:dyDescent="0.35">
      <c r="J166" s="11"/>
    </row>
    <row r="167" spans="2:10" ht="15" thickBot="1" x14ac:dyDescent="0.4">
      <c r="J167" s="11"/>
    </row>
    <row r="168" spans="2:10" ht="15" thickBot="1" x14ac:dyDescent="0.4">
      <c r="B168" s="19" t="s">
        <v>5</v>
      </c>
      <c r="C168" s="20"/>
      <c r="D168" s="20"/>
      <c r="E168" s="20"/>
      <c r="F168" s="20"/>
      <c r="G168" s="21"/>
      <c r="H168" s="3"/>
      <c r="I168" s="17"/>
      <c r="J168" s="8"/>
    </row>
    <row r="169" spans="2:10" ht="28.5" thickBot="1" x14ac:dyDescent="0.4">
      <c r="B169" s="4"/>
      <c r="C169" s="5">
        <v>1</v>
      </c>
      <c r="D169" s="5">
        <v>2</v>
      </c>
      <c r="E169" s="5">
        <v>3</v>
      </c>
      <c r="F169" s="5">
        <v>4</v>
      </c>
      <c r="G169" s="5">
        <v>5</v>
      </c>
      <c r="H169" s="5" t="s">
        <v>1</v>
      </c>
      <c r="I169" s="5" t="s">
        <v>2</v>
      </c>
      <c r="J169" s="13" t="s">
        <v>3</v>
      </c>
    </row>
    <row r="170" spans="2:10" ht="15" thickBot="1" x14ac:dyDescent="0.4">
      <c r="B170" s="4">
        <v>10</v>
      </c>
      <c r="C170" s="5">
        <v>28</v>
      </c>
      <c r="D170" s="5">
        <v>48</v>
      </c>
      <c r="E170" s="5">
        <v>56</v>
      </c>
      <c r="F170" s="5">
        <v>60</v>
      </c>
      <c r="G170" s="5">
        <v>69</v>
      </c>
      <c r="H170" s="5">
        <f>(G170+F170+E170+D170+C170)/5</f>
        <v>52.2</v>
      </c>
      <c r="I170" s="5">
        <f>E170</f>
        <v>56</v>
      </c>
      <c r="J170" s="8">
        <f t="shared" si="28"/>
        <v>13.862178760930764</v>
      </c>
    </row>
    <row r="171" spans="2:10" ht="15" thickBot="1" x14ac:dyDescent="0.4">
      <c r="B171" s="4">
        <v>100</v>
      </c>
      <c r="C171" s="5">
        <v>50</v>
      </c>
      <c r="D171" s="5">
        <v>55</v>
      </c>
      <c r="E171" s="5">
        <v>63</v>
      </c>
      <c r="F171" s="5">
        <v>81</v>
      </c>
      <c r="G171" s="5">
        <v>84</v>
      </c>
      <c r="H171" s="5">
        <f t="shared" ref="H171:H175" si="35">(G171+F171+E171+D171+C171)/5</f>
        <v>66.599999999999994</v>
      </c>
      <c r="I171" s="5">
        <f t="shared" ref="I171:I175" si="36">E171</f>
        <v>63</v>
      </c>
      <c r="J171" s="8">
        <f t="shared" si="28"/>
        <v>13.661625086350453</v>
      </c>
    </row>
    <row r="172" spans="2:10" ht="15" thickBot="1" x14ac:dyDescent="0.4">
      <c r="B172" s="4">
        <v>200</v>
      </c>
      <c r="C172" s="5">
        <v>109</v>
      </c>
      <c r="D172" s="5">
        <v>116</v>
      </c>
      <c r="E172" s="5">
        <v>120</v>
      </c>
      <c r="F172" s="5">
        <v>130</v>
      </c>
      <c r="G172" s="5">
        <v>141</v>
      </c>
      <c r="H172" s="5">
        <f t="shared" si="35"/>
        <v>123.2</v>
      </c>
      <c r="I172" s="5">
        <f t="shared" si="36"/>
        <v>120</v>
      </c>
      <c r="J172" s="8">
        <f t="shared" si="28"/>
        <v>11.196428001822724</v>
      </c>
    </row>
    <row r="173" spans="2:10" ht="15" thickBot="1" x14ac:dyDescent="0.4">
      <c r="B173" s="4">
        <v>500</v>
      </c>
      <c r="C173" s="5">
        <v>105</v>
      </c>
      <c r="D173" s="5">
        <v>120</v>
      </c>
      <c r="E173" s="5">
        <v>140</v>
      </c>
      <c r="F173" s="5">
        <v>144</v>
      </c>
      <c r="G173" s="5">
        <v>148</v>
      </c>
      <c r="H173" s="5">
        <f t="shared" si="35"/>
        <v>131.4</v>
      </c>
      <c r="I173" s="5">
        <f t="shared" si="36"/>
        <v>140</v>
      </c>
      <c r="J173" s="8">
        <f t="shared" si="28"/>
        <v>16.341358572652396</v>
      </c>
    </row>
    <row r="174" spans="2:10" ht="15" thickBot="1" x14ac:dyDescent="0.4">
      <c r="B174" s="4">
        <v>1000</v>
      </c>
      <c r="C174" s="5">
        <v>135</v>
      </c>
      <c r="D174" s="5">
        <v>151</v>
      </c>
      <c r="E174" s="5">
        <v>155</v>
      </c>
      <c r="F174" s="5">
        <v>166</v>
      </c>
      <c r="G174" s="5">
        <v>168</v>
      </c>
      <c r="H174" s="5">
        <f t="shared" si="35"/>
        <v>155</v>
      </c>
      <c r="I174" s="5">
        <f t="shared" si="36"/>
        <v>155</v>
      </c>
      <c r="J174" s="10">
        <f t="shared" si="28"/>
        <v>11.882760622010357</v>
      </c>
    </row>
    <row r="175" spans="2:10" ht="15" thickBot="1" x14ac:dyDescent="0.4">
      <c r="B175" s="4">
        <v>2500</v>
      </c>
      <c r="C175" s="5">
        <v>187</v>
      </c>
      <c r="D175" s="5">
        <v>189</v>
      </c>
      <c r="E175" s="5">
        <v>201</v>
      </c>
      <c r="F175" s="5">
        <v>213</v>
      </c>
      <c r="G175" s="5">
        <v>238</v>
      </c>
      <c r="H175" s="5">
        <f t="shared" si="35"/>
        <v>205.6</v>
      </c>
      <c r="I175" s="5">
        <f t="shared" si="36"/>
        <v>201</v>
      </c>
      <c r="J175" s="8">
        <f t="shared" si="28"/>
        <v>18.693314312876677</v>
      </c>
    </row>
    <row r="176" spans="2:10" x14ac:dyDescent="0.35">
      <c r="J176" s="11"/>
    </row>
    <row r="177" spans="2:10" ht="15" thickBot="1" x14ac:dyDescent="0.4">
      <c r="J177" s="11"/>
    </row>
    <row r="178" spans="2:10" ht="15" thickBot="1" x14ac:dyDescent="0.4">
      <c r="B178" s="19" t="s">
        <v>13</v>
      </c>
      <c r="C178" s="20"/>
      <c r="D178" s="20"/>
      <c r="E178" s="20"/>
      <c r="F178" s="20"/>
      <c r="G178" s="21"/>
      <c r="H178" s="3"/>
      <c r="I178" s="17"/>
      <c r="J178" s="8"/>
    </row>
    <row r="179" spans="2:10" ht="28.5" thickBot="1" x14ac:dyDescent="0.4">
      <c r="B179" s="4"/>
      <c r="C179" s="5">
        <v>1</v>
      </c>
      <c r="D179" s="5">
        <v>2</v>
      </c>
      <c r="E179" s="5">
        <v>3</v>
      </c>
      <c r="F179" s="5">
        <v>4</v>
      </c>
      <c r="G179" s="5">
        <v>5</v>
      </c>
      <c r="H179" s="5" t="s">
        <v>1</v>
      </c>
      <c r="I179" s="5" t="s">
        <v>2</v>
      </c>
      <c r="J179" s="13" t="s">
        <v>3</v>
      </c>
    </row>
    <row r="180" spans="2:10" ht="15" thickBot="1" x14ac:dyDescent="0.4">
      <c r="B180" s="4">
        <v>10</v>
      </c>
      <c r="C180" s="5">
        <v>27</v>
      </c>
      <c r="D180" s="5">
        <v>31</v>
      </c>
      <c r="E180" s="5">
        <v>46</v>
      </c>
      <c r="F180" s="5">
        <v>55</v>
      </c>
      <c r="G180" s="5">
        <v>68</v>
      </c>
      <c r="H180" s="5">
        <f>(G180+F180+E180+D180+C180)/5</f>
        <v>45.4</v>
      </c>
      <c r="I180" s="5">
        <f>E180</f>
        <v>46</v>
      </c>
      <c r="J180" s="8">
        <f t="shared" si="28"/>
        <v>15.160474926597781</v>
      </c>
    </row>
    <row r="181" spans="2:10" ht="15" thickBot="1" x14ac:dyDescent="0.4">
      <c r="B181" s="4">
        <v>100</v>
      </c>
      <c r="C181" s="5">
        <v>34</v>
      </c>
      <c r="D181" s="5">
        <v>39</v>
      </c>
      <c r="E181" s="5">
        <v>49</v>
      </c>
      <c r="F181" s="5">
        <v>66</v>
      </c>
      <c r="G181" s="5">
        <v>75</v>
      </c>
      <c r="H181" s="5">
        <f t="shared" ref="H181:H185" si="37">(G181+F181+E181+D181+C181)/5</f>
        <v>52.6</v>
      </c>
      <c r="I181" s="5">
        <f t="shared" ref="I181:I185" si="38">E181</f>
        <v>49</v>
      </c>
      <c r="J181" s="8">
        <f t="shared" si="28"/>
        <v>15.653753543479596</v>
      </c>
    </row>
    <row r="182" spans="2:10" ht="15" thickBot="1" x14ac:dyDescent="0.4">
      <c r="B182" s="4">
        <v>200</v>
      </c>
      <c r="C182" s="5">
        <v>39</v>
      </c>
      <c r="D182" s="5">
        <v>42</v>
      </c>
      <c r="E182" s="5">
        <v>53</v>
      </c>
      <c r="F182" s="5">
        <v>67</v>
      </c>
      <c r="G182" s="5">
        <v>88</v>
      </c>
      <c r="H182" s="5">
        <f t="shared" si="37"/>
        <v>57.8</v>
      </c>
      <c r="I182" s="5">
        <f t="shared" si="38"/>
        <v>53</v>
      </c>
      <c r="J182" s="8">
        <f t="shared" si="28"/>
        <v>18.015548839821673</v>
      </c>
    </row>
    <row r="183" spans="2:10" ht="15" thickBot="1" x14ac:dyDescent="0.4">
      <c r="B183" s="4">
        <v>500</v>
      </c>
      <c r="C183" s="5">
        <v>48</v>
      </c>
      <c r="D183" s="5">
        <v>50</v>
      </c>
      <c r="E183" s="5">
        <v>57</v>
      </c>
      <c r="F183" s="5">
        <v>77</v>
      </c>
      <c r="G183" s="5">
        <v>92</v>
      </c>
      <c r="H183" s="5">
        <f t="shared" si="37"/>
        <v>64.8</v>
      </c>
      <c r="I183" s="5">
        <f t="shared" si="38"/>
        <v>57</v>
      </c>
      <c r="J183" s="8">
        <f t="shared" si="28"/>
        <v>17.034083479894068</v>
      </c>
    </row>
    <row r="184" spans="2:10" ht="15" thickBot="1" x14ac:dyDescent="0.4">
      <c r="B184" s="4">
        <v>1000</v>
      </c>
      <c r="C184" s="5">
        <v>42</v>
      </c>
      <c r="D184" s="5">
        <v>57</v>
      </c>
      <c r="E184" s="5">
        <v>66</v>
      </c>
      <c r="F184" s="5">
        <v>78</v>
      </c>
      <c r="G184" s="5">
        <v>98</v>
      </c>
      <c r="H184" s="5">
        <f t="shared" si="37"/>
        <v>68.2</v>
      </c>
      <c r="I184" s="5">
        <f t="shared" si="38"/>
        <v>66</v>
      </c>
      <c r="J184" s="10">
        <f t="shared" si="28"/>
        <v>18.977881862842334</v>
      </c>
    </row>
    <row r="185" spans="2:10" ht="15" thickBot="1" x14ac:dyDescent="0.4">
      <c r="B185" s="4">
        <v>2500</v>
      </c>
      <c r="C185" s="5">
        <v>58</v>
      </c>
      <c r="D185" s="5">
        <v>62</v>
      </c>
      <c r="E185" s="5">
        <v>78</v>
      </c>
      <c r="F185" s="5">
        <v>82</v>
      </c>
      <c r="G185" s="5">
        <v>94</v>
      </c>
      <c r="H185" s="5">
        <f t="shared" si="37"/>
        <v>74.8</v>
      </c>
      <c r="I185" s="5">
        <f t="shared" si="38"/>
        <v>78</v>
      </c>
      <c r="J185" s="8">
        <f t="shared" si="28"/>
        <v>13.242356285797479</v>
      </c>
    </row>
    <row r="186" spans="2:10" x14ac:dyDescent="0.35">
      <c r="J186" s="11"/>
    </row>
    <row r="187" spans="2:10" ht="15" thickBot="1" x14ac:dyDescent="0.4">
      <c r="J187" s="11"/>
    </row>
    <row r="188" spans="2:10" ht="15" thickBot="1" x14ac:dyDescent="0.4">
      <c r="B188" s="19" t="s">
        <v>14</v>
      </c>
      <c r="C188" s="20"/>
      <c r="D188" s="20"/>
      <c r="E188" s="20"/>
      <c r="F188" s="20"/>
      <c r="G188" s="21"/>
      <c r="H188" s="3"/>
      <c r="I188" s="17"/>
      <c r="J188" s="8"/>
    </row>
    <row r="189" spans="2:10" ht="28.5" thickBot="1" x14ac:dyDescent="0.4">
      <c r="B189" s="4"/>
      <c r="C189" s="5">
        <v>1</v>
      </c>
      <c r="D189" s="5">
        <v>2</v>
      </c>
      <c r="E189" s="5">
        <v>3</v>
      </c>
      <c r="F189" s="5">
        <v>4</v>
      </c>
      <c r="G189" s="5">
        <v>5</v>
      </c>
      <c r="H189" s="5" t="s">
        <v>1</v>
      </c>
      <c r="I189" s="5" t="s">
        <v>2</v>
      </c>
      <c r="J189" s="13" t="s">
        <v>3</v>
      </c>
    </row>
    <row r="190" spans="2:10" ht="15" thickBot="1" x14ac:dyDescent="0.4">
      <c r="B190" s="4">
        <v>10</v>
      </c>
      <c r="C190" s="5">
        <v>26</v>
      </c>
      <c r="D190" s="5">
        <v>27</v>
      </c>
      <c r="E190" s="5">
        <v>37</v>
      </c>
      <c r="F190" s="5">
        <v>45</v>
      </c>
      <c r="G190" s="5">
        <v>60</v>
      </c>
      <c r="H190" s="5">
        <f>(G190+F190+E190+D190+C190)/5</f>
        <v>39</v>
      </c>
      <c r="I190" s="5">
        <f>E190</f>
        <v>37</v>
      </c>
      <c r="J190" s="8">
        <f t="shared" si="28"/>
        <v>12.601587201618692</v>
      </c>
    </row>
    <row r="191" spans="2:10" ht="15" thickBot="1" x14ac:dyDescent="0.4">
      <c r="B191" s="4">
        <v>100</v>
      </c>
      <c r="C191" s="5">
        <v>32</v>
      </c>
      <c r="D191" s="5">
        <v>38</v>
      </c>
      <c r="E191" s="5">
        <v>39</v>
      </c>
      <c r="F191" s="5">
        <v>47</v>
      </c>
      <c r="G191" s="5">
        <v>68</v>
      </c>
      <c r="H191" s="5">
        <f t="shared" ref="H191:H195" si="39">(G191+F191+E191+D191+C191)/5</f>
        <v>44.8</v>
      </c>
      <c r="I191" s="5">
        <f t="shared" ref="I191:I195" si="40">E191</f>
        <v>39</v>
      </c>
      <c r="J191" s="8">
        <f t="shared" si="28"/>
        <v>12.544321424453376</v>
      </c>
    </row>
    <row r="192" spans="2:10" ht="15" thickBot="1" x14ac:dyDescent="0.4">
      <c r="B192" s="4">
        <v>200</v>
      </c>
      <c r="C192" s="5">
        <v>43</v>
      </c>
      <c r="D192" s="5">
        <v>56</v>
      </c>
      <c r="E192" s="5">
        <v>57</v>
      </c>
      <c r="F192" s="5">
        <v>69</v>
      </c>
      <c r="G192" s="5">
        <v>73</v>
      </c>
      <c r="H192" s="5">
        <f t="shared" si="39"/>
        <v>59.6</v>
      </c>
      <c r="I192" s="5">
        <f t="shared" si="40"/>
        <v>57</v>
      </c>
      <c r="J192" s="8">
        <f t="shared" si="28"/>
        <v>10.613199329137281</v>
      </c>
    </row>
    <row r="193" spans="2:10" ht="15" thickBot="1" x14ac:dyDescent="0.4">
      <c r="B193" s="4">
        <v>500</v>
      </c>
      <c r="C193" s="5">
        <v>57</v>
      </c>
      <c r="D193" s="5">
        <v>71</v>
      </c>
      <c r="E193" s="5">
        <v>78</v>
      </c>
      <c r="F193" s="5">
        <v>79</v>
      </c>
      <c r="G193" s="5">
        <v>90</v>
      </c>
      <c r="H193" s="5">
        <f t="shared" si="39"/>
        <v>75</v>
      </c>
      <c r="I193" s="5">
        <f t="shared" si="40"/>
        <v>78</v>
      </c>
      <c r="J193" s="8">
        <f t="shared" si="28"/>
        <v>10.862780491200215</v>
      </c>
    </row>
    <row r="194" spans="2:10" ht="15" thickBot="1" x14ac:dyDescent="0.4">
      <c r="B194" s="4">
        <v>1000</v>
      </c>
      <c r="C194" s="5">
        <v>68</v>
      </c>
      <c r="D194" s="5">
        <v>72</v>
      </c>
      <c r="E194" s="5">
        <v>87</v>
      </c>
      <c r="F194" s="5">
        <v>89</v>
      </c>
      <c r="G194" s="5">
        <v>98</v>
      </c>
      <c r="H194" s="5">
        <f t="shared" si="39"/>
        <v>82.8</v>
      </c>
      <c r="I194" s="5">
        <f t="shared" si="40"/>
        <v>87</v>
      </c>
      <c r="J194" s="10">
        <f t="shared" si="28"/>
        <v>11.160645142642965</v>
      </c>
    </row>
    <row r="195" spans="2:10" ht="15" thickBot="1" x14ac:dyDescent="0.4">
      <c r="B195" s="4">
        <v>2500</v>
      </c>
      <c r="C195" s="5">
        <v>73</v>
      </c>
      <c r="D195" s="5">
        <v>89</v>
      </c>
      <c r="E195" s="5">
        <v>103</v>
      </c>
      <c r="F195" s="5">
        <v>145</v>
      </c>
      <c r="G195" s="5">
        <v>175</v>
      </c>
      <c r="H195" s="5">
        <f t="shared" si="39"/>
        <v>117</v>
      </c>
      <c r="I195" s="5">
        <f t="shared" si="40"/>
        <v>103</v>
      </c>
      <c r="J195" s="8">
        <f t="shared" si="28"/>
        <v>37.587231874667225</v>
      </c>
    </row>
    <row r="196" spans="2:10" x14ac:dyDescent="0.35">
      <c r="J196" s="11"/>
    </row>
    <row r="197" spans="2:10" ht="15" thickBot="1" x14ac:dyDescent="0.4">
      <c r="J197" s="11"/>
    </row>
    <row r="198" spans="2:10" ht="15" thickBot="1" x14ac:dyDescent="0.4">
      <c r="B198" s="19" t="s">
        <v>8</v>
      </c>
      <c r="C198" s="20"/>
      <c r="D198" s="20"/>
      <c r="E198" s="20"/>
      <c r="F198" s="20"/>
      <c r="G198" s="21"/>
      <c r="H198" s="3"/>
      <c r="I198" s="17"/>
      <c r="J198" s="8"/>
    </row>
    <row r="199" spans="2:10" ht="28.5" thickBot="1" x14ac:dyDescent="0.4">
      <c r="B199" s="4"/>
      <c r="C199" s="5">
        <v>1</v>
      </c>
      <c r="D199" s="5">
        <v>2</v>
      </c>
      <c r="E199" s="5">
        <v>3</v>
      </c>
      <c r="F199" s="5">
        <v>4</v>
      </c>
      <c r="G199" s="5">
        <v>5</v>
      </c>
      <c r="H199" s="5" t="s">
        <v>1</v>
      </c>
      <c r="I199" s="5" t="s">
        <v>2</v>
      </c>
      <c r="J199" s="13" t="s">
        <v>3</v>
      </c>
    </row>
    <row r="200" spans="2:10" ht="15" thickBot="1" x14ac:dyDescent="0.4">
      <c r="B200" s="4">
        <v>1</v>
      </c>
      <c r="C200" s="5">
        <v>24</v>
      </c>
      <c r="D200" s="5">
        <v>27</v>
      </c>
      <c r="E200" s="5">
        <v>29</v>
      </c>
      <c r="F200" s="5">
        <v>30</v>
      </c>
      <c r="G200" s="5">
        <v>44</v>
      </c>
      <c r="H200" s="5">
        <f>(G200+F200+E200+D200+C200)/5</f>
        <v>30.8</v>
      </c>
      <c r="I200" s="5">
        <f>E200</f>
        <v>29</v>
      </c>
      <c r="J200" s="8">
        <f t="shared" ref="J200:J263" si="41">(((C200-H200)^2 +(D200-H200)^2 + (E200-H200)^2 + (F200-H200)^2 + (G200-H200)^2)/5)^0.5</f>
        <v>6.9108610172683989</v>
      </c>
    </row>
    <row r="201" spans="2:10" ht="15" thickBot="1" x14ac:dyDescent="0.4">
      <c r="B201" s="4">
        <v>3</v>
      </c>
      <c r="C201" s="5">
        <v>33</v>
      </c>
      <c r="D201" s="5">
        <v>41</v>
      </c>
      <c r="E201" s="5">
        <v>48</v>
      </c>
      <c r="F201" s="5">
        <v>49</v>
      </c>
      <c r="G201" s="5">
        <v>57</v>
      </c>
      <c r="H201" s="5">
        <f t="shared" ref="H201:H204" si="42">(G201+F201+E201+D201+C201)/5</f>
        <v>45.6</v>
      </c>
      <c r="I201" s="5">
        <f t="shared" ref="I201:I205" si="43">E201</f>
        <v>48</v>
      </c>
      <c r="J201" s="8">
        <f t="shared" si="41"/>
        <v>8.0894993664626753</v>
      </c>
    </row>
    <row r="202" spans="2:10" ht="15" thickBot="1" x14ac:dyDescent="0.4">
      <c r="B202" s="4">
        <v>5</v>
      </c>
      <c r="C202" s="5">
        <v>38</v>
      </c>
      <c r="D202" s="5">
        <v>41</v>
      </c>
      <c r="E202" s="5">
        <v>66</v>
      </c>
      <c r="F202" s="5">
        <v>71</v>
      </c>
      <c r="G202" s="5">
        <v>74</v>
      </c>
      <c r="H202" s="5">
        <f t="shared" si="42"/>
        <v>58</v>
      </c>
      <c r="I202" s="5">
        <f t="shared" si="43"/>
        <v>66</v>
      </c>
      <c r="J202" s="8">
        <f t="shared" si="41"/>
        <v>15.349267083479914</v>
      </c>
    </row>
    <row r="203" spans="2:10" ht="15" thickBot="1" x14ac:dyDescent="0.4">
      <c r="B203" s="4">
        <v>8</v>
      </c>
      <c r="C203" s="5">
        <v>34</v>
      </c>
      <c r="D203" s="5">
        <v>42</v>
      </c>
      <c r="E203" s="5">
        <v>71</v>
      </c>
      <c r="F203" s="5">
        <v>73</v>
      </c>
      <c r="G203" s="5">
        <v>86</v>
      </c>
      <c r="H203" s="5">
        <f t="shared" si="42"/>
        <v>61.2</v>
      </c>
      <c r="I203" s="5">
        <f t="shared" si="43"/>
        <v>71</v>
      </c>
      <c r="J203" s="8">
        <f t="shared" si="41"/>
        <v>19.792928029980811</v>
      </c>
    </row>
    <row r="204" spans="2:10" ht="15" thickBot="1" x14ac:dyDescent="0.4">
      <c r="B204" s="4">
        <v>10</v>
      </c>
      <c r="C204" s="5">
        <v>45</v>
      </c>
      <c r="D204" s="5">
        <v>54</v>
      </c>
      <c r="E204" s="5">
        <v>71</v>
      </c>
      <c r="F204" s="5">
        <v>76</v>
      </c>
      <c r="G204" s="5">
        <v>92</v>
      </c>
      <c r="H204" s="5">
        <f t="shared" si="42"/>
        <v>67.599999999999994</v>
      </c>
      <c r="I204" s="5">
        <f t="shared" si="43"/>
        <v>71</v>
      </c>
      <c r="J204" s="10">
        <f t="shared" si="41"/>
        <v>16.572265988693278</v>
      </c>
    </row>
    <row r="205" spans="2:10" ht="15" thickBot="1" x14ac:dyDescent="0.4">
      <c r="B205" s="4">
        <v>11</v>
      </c>
      <c r="C205" s="5">
        <v>57</v>
      </c>
      <c r="D205" s="5">
        <v>105</v>
      </c>
      <c r="E205" s="5">
        <v>110</v>
      </c>
      <c r="F205" s="5">
        <v>123</v>
      </c>
      <c r="G205" s="5">
        <v>135</v>
      </c>
      <c r="H205" s="5">
        <f>(G205+F205+E205+D205+C205)/5</f>
        <v>106</v>
      </c>
      <c r="I205" s="5">
        <f t="shared" si="43"/>
        <v>110</v>
      </c>
      <c r="J205" s="8">
        <f t="shared" si="41"/>
        <v>26.638318265235888</v>
      </c>
    </row>
    <row r="206" spans="2:10" x14ac:dyDescent="0.35">
      <c r="J206" s="11"/>
    </row>
    <row r="207" spans="2:10" ht="15" thickBot="1" x14ac:dyDescent="0.4">
      <c r="J207" s="11"/>
    </row>
    <row r="208" spans="2:10" ht="15" thickBot="1" x14ac:dyDescent="0.4">
      <c r="B208" s="19" t="s">
        <v>9</v>
      </c>
      <c r="C208" s="20"/>
      <c r="D208" s="20"/>
      <c r="E208" s="20"/>
      <c r="F208" s="20"/>
      <c r="G208" s="21"/>
      <c r="H208" s="3"/>
      <c r="I208" s="17"/>
      <c r="J208" s="8"/>
    </row>
    <row r="209" spans="2:10" ht="28.5" thickBot="1" x14ac:dyDescent="0.4">
      <c r="B209" s="4"/>
      <c r="C209" s="5">
        <v>1</v>
      </c>
      <c r="D209" s="5">
        <v>2</v>
      </c>
      <c r="E209" s="5">
        <v>3</v>
      </c>
      <c r="F209" s="5">
        <v>4</v>
      </c>
      <c r="G209" s="5">
        <v>5</v>
      </c>
      <c r="H209" s="5" t="s">
        <v>1</v>
      </c>
      <c r="I209" s="5" t="s">
        <v>2</v>
      </c>
      <c r="J209" s="13" t="s">
        <v>3</v>
      </c>
    </row>
    <row r="210" spans="2:10" ht="15" thickBot="1" x14ac:dyDescent="0.4">
      <c r="B210" s="4">
        <v>1</v>
      </c>
      <c r="C210" s="5">
        <v>27</v>
      </c>
      <c r="D210" s="5">
        <v>31</v>
      </c>
      <c r="E210" s="5">
        <v>39</v>
      </c>
      <c r="F210" s="5">
        <v>46</v>
      </c>
      <c r="G210" s="5">
        <v>52</v>
      </c>
      <c r="H210" s="5">
        <f>(G210+F210+E210+D210+C210)/5</f>
        <v>39</v>
      </c>
      <c r="I210" s="5">
        <f>E210</f>
        <v>39</v>
      </c>
      <c r="J210" s="8">
        <f t="shared" si="41"/>
        <v>9.2303846073714606</v>
      </c>
    </row>
    <row r="211" spans="2:10" ht="15" thickBot="1" x14ac:dyDescent="0.4">
      <c r="B211" s="4">
        <v>3</v>
      </c>
      <c r="C211" s="5">
        <v>29</v>
      </c>
      <c r="D211" s="5">
        <v>52</v>
      </c>
      <c r="E211" s="5">
        <v>53</v>
      </c>
      <c r="F211" s="5">
        <v>62</v>
      </c>
      <c r="G211" s="5">
        <v>65</v>
      </c>
      <c r="H211" s="5">
        <f t="shared" ref="H211:H215" si="44">(G211+F211+E211+D211+C211)/5</f>
        <v>52.2</v>
      </c>
      <c r="I211" s="5">
        <f t="shared" ref="I211:I215" si="45">E211</f>
        <v>53</v>
      </c>
      <c r="J211" s="8">
        <f t="shared" si="41"/>
        <v>12.639620247459968</v>
      </c>
    </row>
    <row r="212" spans="2:10" ht="15" thickBot="1" x14ac:dyDescent="0.4">
      <c r="B212" s="4">
        <v>5</v>
      </c>
      <c r="C212" s="5">
        <v>45</v>
      </c>
      <c r="D212" s="5">
        <v>46</v>
      </c>
      <c r="E212" s="5">
        <v>59</v>
      </c>
      <c r="F212" s="5">
        <v>62</v>
      </c>
      <c r="G212" s="5">
        <v>82</v>
      </c>
      <c r="H212" s="5">
        <f t="shared" si="44"/>
        <v>58.8</v>
      </c>
      <c r="I212" s="5">
        <f t="shared" si="45"/>
        <v>59</v>
      </c>
      <c r="J212" s="8">
        <f t="shared" si="41"/>
        <v>13.43726162579266</v>
      </c>
    </row>
    <row r="213" spans="2:10" ht="15" thickBot="1" x14ac:dyDescent="0.4">
      <c r="B213" s="4">
        <v>8</v>
      </c>
      <c r="C213" s="5">
        <v>56</v>
      </c>
      <c r="D213" s="5">
        <v>59</v>
      </c>
      <c r="E213" s="5">
        <v>60</v>
      </c>
      <c r="F213" s="5">
        <v>73</v>
      </c>
      <c r="G213" s="5">
        <v>95</v>
      </c>
      <c r="H213" s="5">
        <f t="shared" si="44"/>
        <v>68.599999999999994</v>
      </c>
      <c r="I213" s="5">
        <f t="shared" si="45"/>
        <v>60</v>
      </c>
      <c r="J213" s="8">
        <f t="shared" si="41"/>
        <v>14.430523206037957</v>
      </c>
    </row>
    <row r="214" spans="2:10" ht="15" thickBot="1" x14ac:dyDescent="0.4">
      <c r="B214" s="4">
        <v>10</v>
      </c>
      <c r="C214" s="5">
        <v>3549</v>
      </c>
      <c r="D214" s="5">
        <v>4082</v>
      </c>
      <c r="E214" s="5">
        <v>5096</v>
      </c>
      <c r="F214" s="5">
        <v>6544</v>
      </c>
      <c r="G214" s="5">
        <v>6565</v>
      </c>
      <c r="H214" s="5">
        <f t="shared" si="44"/>
        <v>5167.2</v>
      </c>
      <c r="I214" s="5">
        <f t="shared" si="45"/>
        <v>5096</v>
      </c>
      <c r="J214" s="10">
        <f t="shared" si="41"/>
        <v>1236.9901212216694</v>
      </c>
    </row>
    <row r="215" spans="2:10" ht="15" thickBot="1" x14ac:dyDescent="0.4">
      <c r="B215" s="4">
        <v>11</v>
      </c>
      <c r="C215" s="5">
        <v>8929</v>
      </c>
      <c r="D215" s="5">
        <v>9624</v>
      </c>
      <c r="E215" s="5">
        <v>9831</v>
      </c>
      <c r="F215" s="5">
        <v>10421</v>
      </c>
      <c r="G215" s="5">
        <v>11832</v>
      </c>
      <c r="H215" s="5">
        <f t="shared" si="44"/>
        <v>10127.4</v>
      </c>
      <c r="I215" s="5">
        <f t="shared" si="45"/>
        <v>9831</v>
      </c>
      <c r="J215" s="10">
        <f t="shared" si="41"/>
        <v>976.65645955985974</v>
      </c>
    </row>
    <row r="216" spans="2:10" x14ac:dyDescent="0.35">
      <c r="J216" s="11"/>
    </row>
    <row r="217" spans="2:10" x14ac:dyDescent="0.35">
      <c r="J217" s="11"/>
    </row>
    <row r="218" spans="2:10" ht="29" x14ac:dyDescent="0.35">
      <c r="B218" s="15" t="s">
        <v>16</v>
      </c>
      <c r="J218" s="11"/>
    </row>
    <row r="219" spans="2:10" ht="15" thickBot="1" x14ac:dyDescent="0.4">
      <c r="J219" s="11"/>
    </row>
    <row r="220" spans="2:10" ht="15" thickBot="1" x14ac:dyDescent="0.4">
      <c r="B220" s="19" t="s">
        <v>0</v>
      </c>
      <c r="C220" s="20"/>
      <c r="D220" s="20"/>
      <c r="E220" s="20"/>
      <c r="F220" s="20"/>
      <c r="G220" s="21"/>
      <c r="H220" s="3"/>
      <c r="I220" s="17"/>
      <c r="J220" s="8"/>
    </row>
    <row r="221" spans="2:10" ht="28.5" thickBot="1" x14ac:dyDescent="0.4">
      <c r="B221" s="4"/>
      <c r="C221" s="5">
        <v>1</v>
      </c>
      <c r="D221" s="5">
        <v>2</v>
      </c>
      <c r="E221" s="5">
        <v>3</v>
      </c>
      <c r="F221" s="5">
        <v>4</v>
      </c>
      <c r="G221" s="5">
        <v>5</v>
      </c>
      <c r="H221" s="5" t="s">
        <v>1</v>
      </c>
      <c r="I221" s="5" t="s">
        <v>2</v>
      </c>
      <c r="J221" s="13" t="s">
        <v>3</v>
      </c>
    </row>
    <row r="222" spans="2:10" ht="15" thickBot="1" x14ac:dyDescent="0.4">
      <c r="B222" s="4">
        <v>10</v>
      </c>
      <c r="C222" s="5">
        <v>23</v>
      </c>
      <c r="D222" s="5">
        <v>29</v>
      </c>
      <c r="E222" s="5">
        <v>31</v>
      </c>
      <c r="F222" s="5">
        <v>35</v>
      </c>
      <c r="G222" s="5">
        <v>39</v>
      </c>
      <c r="H222" s="5">
        <f>(G222+F222+E222+D222+C222)/5</f>
        <v>31.4</v>
      </c>
      <c r="I222" s="5">
        <f>E222</f>
        <v>31</v>
      </c>
      <c r="J222" s="8">
        <f t="shared" si="41"/>
        <v>5.4258639865002145</v>
      </c>
    </row>
    <row r="223" spans="2:10" ht="15" thickBot="1" x14ac:dyDescent="0.4">
      <c r="B223" s="4">
        <v>100</v>
      </c>
      <c r="C223" s="5">
        <v>29</v>
      </c>
      <c r="D223" s="5">
        <v>30</v>
      </c>
      <c r="E223" s="5">
        <v>32</v>
      </c>
      <c r="F223" s="5">
        <v>37</v>
      </c>
      <c r="G223" s="5">
        <v>44</v>
      </c>
      <c r="H223" s="5">
        <f t="shared" ref="H223:H227" si="46">(G223+F223+E223+D223+C223)/5</f>
        <v>34.4</v>
      </c>
      <c r="I223" s="5">
        <f t="shared" ref="I223:I227" si="47">E223</f>
        <v>32</v>
      </c>
      <c r="J223" s="8">
        <f t="shared" si="41"/>
        <v>5.5353410012392184</v>
      </c>
    </row>
    <row r="224" spans="2:10" ht="15" thickBot="1" x14ac:dyDescent="0.4">
      <c r="B224" s="4">
        <v>200</v>
      </c>
      <c r="C224" s="5">
        <v>23</v>
      </c>
      <c r="D224" s="5">
        <v>32</v>
      </c>
      <c r="E224" s="5">
        <v>35</v>
      </c>
      <c r="F224" s="5">
        <v>41</v>
      </c>
      <c r="G224" s="5">
        <v>49</v>
      </c>
      <c r="H224" s="5">
        <f t="shared" si="46"/>
        <v>36</v>
      </c>
      <c r="I224" s="5">
        <f t="shared" si="47"/>
        <v>35</v>
      </c>
      <c r="J224" s="8">
        <f t="shared" si="41"/>
        <v>8.717797887081348</v>
      </c>
    </row>
    <row r="225" spans="2:10" ht="15" thickBot="1" x14ac:dyDescent="0.4">
      <c r="B225" s="4">
        <v>500</v>
      </c>
      <c r="C225" s="5">
        <v>31</v>
      </c>
      <c r="D225" s="5">
        <v>33</v>
      </c>
      <c r="E225" s="5">
        <v>36</v>
      </c>
      <c r="F225" s="5">
        <v>43</v>
      </c>
      <c r="G225" s="5">
        <v>48</v>
      </c>
      <c r="H225" s="5">
        <f t="shared" si="46"/>
        <v>38.200000000000003</v>
      </c>
      <c r="I225" s="5">
        <f t="shared" si="47"/>
        <v>36</v>
      </c>
      <c r="J225" s="8">
        <f t="shared" si="41"/>
        <v>6.3686733312362636</v>
      </c>
    </row>
    <row r="226" spans="2:10" ht="15" thickBot="1" x14ac:dyDescent="0.4">
      <c r="B226" s="4">
        <v>1000</v>
      </c>
      <c r="C226" s="5">
        <v>35</v>
      </c>
      <c r="D226" s="5">
        <v>37</v>
      </c>
      <c r="E226" s="5">
        <v>39</v>
      </c>
      <c r="F226" s="5">
        <v>46</v>
      </c>
      <c r="G226" s="5">
        <v>51</v>
      </c>
      <c r="H226" s="5">
        <f t="shared" si="46"/>
        <v>41.6</v>
      </c>
      <c r="I226" s="5">
        <f t="shared" si="47"/>
        <v>39</v>
      </c>
      <c r="J226" s="10">
        <f t="shared" si="41"/>
        <v>5.9866518188383058</v>
      </c>
    </row>
    <row r="227" spans="2:10" ht="15" thickBot="1" x14ac:dyDescent="0.4">
      <c r="B227" s="4">
        <v>2500</v>
      </c>
      <c r="C227" s="5">
        <v>30</v>
      </c>
      <c r="D227" s="5">
        <v>35</v>
      </c>
      <c r="E227" s="5">
        <v>37</v>
      </c>
      <c r="F227" s="5">
        <v>40</v>
      </c>
      <c r="G227" s="5">
        <v>45</v>
      </c>
      <c r="H227" s="5">
        <f t="shared" si="46"/>
        <v>37.4</v>
      </c>
      <c r="I227" s="5">
        <f t="shared" si="47"/>
        <v>37</v>
      </c>
      <c r="J227" s="8">
        <f t="shared" si="41"/>
        <v>5.0039984012787215</v>
      </c>
    </row>
    <row r="228" spans="2:10" x14ac:dyDescent="0.35">
      <c r="J228" s="11"/>
    </row>
    <row r="229" spans="2:10" ht="15" thickBot="1" x14ac:dyDescent="0.4">
      <c r="J229" s="11"/>
    </row>
    <row r="230" spans="2:10" ht="15" thickBot="1" x14ac:dyDescent="0.4">
      <c r="B230" s="19" t="s">
        <v>4</v>
      </c>
      <c r="C230" s="20"/>
      <c r="D230" s="20"/>
      <c r="E230" s="20"/>
      <c r="F230" s="20"/>
      <c r="G230" s="21"/>
      <c r="H230" s="3"/>
      <c r="I230" s="17"/>
      <c r="J230" s="8"/>
    </row>
    <row r="231" spans="2:10" ht="28.5" thickBot="1" x14ac:dyDescent="0.4">
      <c r="B231" s="4"/>
      <c r="C231" s="5">
        <v>1</v>
      </c>
      <c r="D231" s="5">
        <v>2</v>
      </c>
      <c r="E231" s="5">
        <v>3</v>
      </c>
      <c r="F231" s="5">
        <v>4</v>
      </c>
      <c r="G231" s="5">
        <v>5</v>
      </c>
      <c r="H231" s="5" t="s">
        <v>1</v>
      </c>
      <c r="I231" s="5" t="s">
        <v>2</v>
      </c>
      <c r="J231" s="13" t="s">
        <v>3</v>
      </c>
    </row>
    <row r="232" spans="2:10" ht="15" thickBot="1" x14ac:dyDescent="0.4">
      <c r="B232" s="4">
        <v>10</v>
      </c>
      <c r="C232" s="5">
        <v>26</v>
      </c>
      <c r="D232" s="5">
        <v>33</v>
      </c>
      <c r="E232" s="5">
        <v>35</v>
      </c>
      <c r="F232" s="5">
        <v>39</v>
      </c>
      <c r="G232" s="5">
        <v>41</v>
      </c>
      <c r="H232" s="5">
        <f>(G232+F232+E232+D232+C232)/5</f>
        <v>34.799999999999997</v>
      </c>
      <c r="I232" s="5">
        <f>E232</f>
        <v>35</v>
      </c>
      <c r="J232" s="8">
        <f t="shared" si="41"/>
        <v>5.2306787322488084</v>
      </c>
    </row>
    <row r="233" spans="2:10" ht="15" thickBot="1" x14ac:dyDescent="0.4">
      <c r="B233" s="4">
        <v>100</v>
      </c>
      <c r="C233" s="5">
        <v>26</v>
      </c>
      <c r="D233" s="5">
        <v>29</v>
      </c>
      <c r="E233" s="5">
        <v>33</v>
      </c>
      <c r="F233" s="5">
        <v>36</v>
      </c>
      <c r="G233" s="5">
        <v>42</v>
      </c>
      <c r="H233" s="5">
        <f t="shared" ref="H233:H237" si="48">(G233+F233+E233+D233+C233)/5</f>
        <v>33.200000000000003</v>
      </c>
      <c r="I233" s="5">
        <f t="shared" ref="I233:I237" si="49">E233</f>
        <v>33</v>
      </c>
      <c r="J233" s="8">
        <f t="shared" si="41"/>
        <v>5.5641710972974225</v>
      </c>
    </row>
    <row r="234" spans="2:10" ht="15" thickBot="1" x14ac:dyDescent="0.4">
      <c r="B234" s="4">
        <v>200</v>
      </c>
      <c r="C234" s="5">
        <v>23</v>
      </c>
      <c r="D234" s="5">
        <v>28</v>
      </c>
      <c r="E234" s="5">
        <v>36</v>
      </c>
      <c r="F234" s="5">
        <v>40</v>
      </c>
      <c r="G234" s="5">
        <v>41</v>
      </c>
      <c r="H234" s="5">
        <f t="shared" si="48"/>
        <v>33.6</v>
      </c>
      <c r="I234" s="5">
        <f t="shared" si="49"/>
        <v>36</v>
      </c>
      <c r="J234" s="8">
        <f t="shared" si="41"/>
        <v>7.0028565600046386</v>
      </c>
    </row>
    <row r="235" spans="2:10" ht="15" thickBot="1" x14ac:dyDescent="0.4">
      <c r="B235" s="4">
        <v>500</v>
      </c>
      <c r="C235" s="5">
        <v>27</v>
      </c>
      <c r="D235" s="5">
        <v>36</v>
      </c>
      <c r="E235" s="5">
        <v>42</v>
      </c>
      <c r="F235" s="5">
        <v>47</v>
      </c>
      <c r="G235" s="5">
        <v>49</v>
      </c>
      <c r="H235" s="5">
        <f t="shared" si="48"/>
        <v>40.200000000000003</v>
      </c>
      <c r="I235" s="5">
        <f t="shared" si="49"/>
        <v>42</v>
      </c>
      <c r="J235" s="8">
        <f t="shared" si="41"/>
        <v>7.9849859110708508</v>
      </c>
    </row>
    <row r="236" spans="2:10" ht="15" thickBot="1" x14ac:dyDescent="0.4">
      <c r="B236" s="4">
        <v>1000</v>
      </c>
      <c r="C236" s="5">
        <v>28</v>
      </c>
      <c r="D236" s="5">
        <v>43</v>
      </c>
      <c r="E236" s="5">
        <v>45</v>
      </c>
      <c r="F236" s="5">
        <v>53</v>
      </c>
      <c r="G236" s="5">
        <v>54</v>
      </c>
      <c r="H236" s="5">
        <f t="shared" si="48"/>
        <v>44.6</v>
      </c>
      <c r="I236" s="5">
        <f t="shared" si="49"/>
        <v>45</v>
      </c>
      <c r="J236" s="10">
        <f t="shared" si="41"/>
        <v>9.3509357820487669</v>
      </c>
    </row>
    <row r="237" spans="2:10" ht="15" thickBot="1" x14ac:dyDescent="0.4">
      <c r="B237" s="4">
        <v>2500</v>
      </c>
      <c r="C237" s="5">
        <v>39</v>
      </c>
      <c r="D237" s="5">
        <v>40</v>
      </c>
      <c r="E237" s="5">
        <v>46</v>
      </c>
      <c r="F237" s="5">
        <v>47</v>
      </c>
      <c r="G237" s="5">
        <v>62</v>
      </c>
      <c r="H237" s="5">
        <f t="shared" si="48"/>
        <v>46.8</v>
      </c>
      <c r="I237" s="5">
        <f t="shared" si="49"/>
        <v>46</v>
      </c>
      <c r="J237" s="8">
        <f t="shared" si="41"/>
        <v>8.2316462509026707</v>
      </c>
    </row>
    <row r="238" spans="2:10" x14ac:dyDescent="0.35">
      <c r="J238" s="18"/>
    </row>
    <row r="239" spans="2:10" ht="15" thickBot="1" x14ac:dyDescent="0.4">
      <c r="J239" s="18"/>
    </row>
    <row r="240" spans="2:10" ht="15" thickBot="1" x14ac:dyDescent="0.4">
      <c r="B240" s="19" t="s">
        <v>5</v>
      </c>
      <c r="C240" s="20"/>
      <c r="D240" s="20"/>
      <c r="E240" s="20"/>
      <c r="F240" s="20"/>
      <c r="G240" s="21"/>
      <c r="H240" s="3"/>
      <c r="I240" s="17"/>
      <c r="J240" s="9"/>
    </row>
    <row r="241" spans="2:10" ht="28.5" thickBot="1" x14ac:dyDescent="0.4">
      <c r="B241" s="4"/>
      <c r="C241" s="5">
        <v>1</v>
      </c>
      <c r="D241" s="5">
        <v>2</v>
      </c>
      <c r="E241" s="5">
        <v>3</v>
      </c>
      <c r="F241" s="5">
        <v>4</v>
      </c>
      <c r="G241" s="5">
        <v>5</v>
      </c>
      <c r="H241" s="5" t="s">
        <v>1</v>
      </c>
      <c r="I241" s="5" t="s">
        <v>2</v>
      </c>
      <c r="J241" s="13" t="s">
        <v>3</v>
      </c>
    </row>
    <row r="242" spans="2:10" ht="15" thickBot="1" x14ac:dyDescent="0.4">
      <c r="B242" s="4">
        <v>10</v>
      </c>
      <c r="C242" s="5">
        <v>24</v>
      </c>
      <c r="D242" s="5">
        <v>31</v>
      </c>
      <c r="E242" s="5">
        <v>33</v>
      </c>
      <c r="F242" s="5">
        <v>38</v>
      </c>
      <c r="G242" s="5">
        <v>39</v>
      </c>
      <c r="H242" s="5">
        <f>(G242+F242+E242+D242+C242)/5</f>
        <v>33</v>
      </c>
      <c r="I242" s="5">
        <f>E242</f>
        <v>33</v>
      </c>
      <c r="J242" s="8">
        <f t="shared" si="41"/>
        <v>5.4037024344425184</v>
      </c>
    </row>
    <row r="243" spans="2:10" ht="15" thickBot="1" x14ac:dyDescent="0.4">
      <c r="B243" s="4">
        <v>100</v>
      </c>
      <c r="C243" s="5">
        <v>26</v>
      </c>
      <c r="D243" s="5">
        <v>34</v>
      </c>
      <c r="E243" s="5">
        <v>35</v>
      </c>
      <c r="F243" s="5">
        <v>39</v>
      </c>
      <c r="G243" s="5">
        <v>45</v>
      </c>
      <c r="H243" s="5">
        <f t="shared" ref="H243:H247" si="50">(G243+F243+E243+D243+C243)/5</f>
        <v>35.799999999999997</v>
      </c>
      <c r="I243" s="5">
        <f t="shared" ref="I243:I247" si="51">E243</f>
        <v>35</v>
      </c>
      <c r="J243" s="8">
        <f t="shared" si="41"/>
        <v>6.2417946137308942</v>
      </c>
    </row>
    <row r="244" spans="2:10" ht="15" thickBot="1" x14ac:dyDescent="0.4">
      <c r="B244" s="4">
        <v>200</v>
      </c>
      <c r="C244" s="5">
        <v>25</v>
      </c>
      <c r="D244" s="5">
        <v>33</v>
      </c>
      <c r="E244" s="5">
        <v>39</v>
      </c>
      <c r="F244" s="5">
        <v>41</v>
      </c>
      <c r="G244" s="5">
        <v>53</v>
      </c>
      <c r="H244" s="5">
        <f t="shared" si="50"/>
        <v>38.200000000000003</v>
      </c>
      <c r="I244" s="5">
        <f t="shared" si="51"/>
        <v>39</v>
      </c>
      <c r="J244" s="8">
        <f t="shared" si="41"/>
        <v>9.2606695222321793</v>
      </c>
    </row>
    <row r="245" spans="2:10" ht="15" thickBot="1" x14ac:dyDescent="0.4">
      <c r="B245" s="4">
        <v>500</v>
      </c>
      <c r="C245" s="5">
        <v>37</v>
      </c>
      <c r="D245" s="5">
        <v>40</v>
      </c>
      <c r="E245" s="5">
        <v>46</v>
      </c>
      <c r="F245" s="5">
        <v>50</v>
      </c>
      <c r="G245" s="5">
        <v>59</v>
      </c>
      <c r="H245" s="5">
        <f t="shared" si="50"/>
        <v>46.4</v>
      </c>
      <c r="I245" s="5">
        <f t="shared" si="51"/>
        <v>46</v>
      </c>
      <c r="J245" s="8">
        <f t="shared" si="41"/>
        <v>7.7614431647729019</v>
      </c>
    </row>
    <row r="246" spans="2:10" ht="15" thickBot="1" x14ac:dyDescent="0.4">
      <c r="B246" s="4">
        <v>1000</v>
      </c>
      <c r="C246" s="5">
        <v>48</v>
      </c>
      <c r="D246" s="5">
        <v>50</v>
      </c>
      <c r="E246" s="5">
        <v>59</v>
      </c>
      <c r="F246" s="5">
        <v>60</v>
      </c>
      <c r="G246" s="5">
        <v>68</v>
      </c>
      <c r="H246" s="5">
        <f t="shared" si="50"/>
        <v>57</v>
      </c>
      <c r="I246" s="5">
        <f t="shared" si="51"/>
        <v>59</v>
      </c>
      <c r="J246" s="10">
        <f t="shared" si="41"/>
        <v>7.2663608498339798</v>
      </c>
    </row>
    <row r="247" spans="2:10" ht="15" thickBot="1" x14ac:dyDescent="0.4">
      <c r="B247" s="4">
        <v>2500</v>
      </c>
      <c r="C247" s="5">
        <v>198</v>
      </c>
      <c r="D247" s="5">
        <v>213</v>
      </c>
      <c r="E247" s="5">
        <v>228</v>
      </c>
      <c r="F247" s="5">
        <v>234</v>
      </c>
      <c r="G247" s="5">
        <v>266</v>
      </c>
      <c r="H247" s="5">
        <f t="shared" si="50"/>
        <v>227.8</v>
      </c>
      <c r="I247" s="5">
        <f t="shared" si="51"/>
        <v>228</v>
      </c>
      <c r="J247" s="8">
        <f t="shared" si="41"/>
        <v>22.824548188299371</v>
      </c>
    </row>
    <row r="248" spans="2:10" x14ac:dyDescent="0.35">
      <c r="J248" s="11"/>
    </row>
    <row r="249" spans="2:10" ht="15" thickBot="1" x14ac:dyDescent="0.4">
      <c r="J249" s="11"/>
    </row>
    <row r="250" spans="2:10" ht="15" thickBot="1" x14ac:dyDescent="0.4">
      <c r="B250" s="19" t="s">
        <v>13</v>
      </c>
      <c r="C250" s="20"/>
      <c r="D250" s="20"/>
      <c r="E250" s="20"/>
      <c r="F250" s="20"/>
      <c r="G250" s="21"/>
      <c r="H250" s="3"/>
      <c r="I250" s="17"/>
      <c r="J250" s="8"/>
    </row>
    <row r="251" spans="2:10" ht="28.5" thickBot="1" x14ac:dyDescent="0.4">
      <c r="B251" s="4"/>
      <c r="C251" s="5">
        <v>1</v>
      </c>
      <c r="D251" s="5">
        <v>2</v>
      </c>
      <c r="E251" s="5">
        <v>3</v>
      </c>
      <c r="F251" s="5">
        <v>4</v>
      </c>
      <c r="G251" s="5">
        <v>5</v>
      </c>
      <c r="H251" s="5" t="s">
        <v>1</v>
      </c>
      <c r="I251" s="5" t="s">
        <v>2</v>
      </c>
      <c r="J251" s="13" t="s">
        <v>3</v>
      </c>
    </row>
    <row r="252" spans="2:10" ht="15" thickBot="1" x14ac:dyDescent="0.4">
      <c r="B252" s="4">
        <v>10</v>
      </c>
      <c r="C252" s="5">
        <v>24</v>
      </c>
      <c r="D252" s="5">
        <v>28</v>
      </c>
      <c r="E252" s="5">
        <v>33</v>
      </c>
      <c r="F252" s="5">
        <v>39</v>
      </c>
      <c r="G252" s="5">
        <v>40</v>
      </c>
      <c r="H252" s="5">
        <f>(G252+F252+E252+D252+C252)/5</f>
        <v>32.799999999999997</v>
      </c>
      <c r="I252" s="5">
        <f>E252</f>
        <v>33</v>
      </c>
      <c r="J252" s="8">
        <f t="shared" si="41"/>
        <v>6.1773780845922008</v>
      </c>
    </row>
    <row r="253" spans="2:10" ht="15" thickBot="1" x14ac:dyDescent="0.4">
      <c r="B253" s="4">
        <v>100</v>
      </c>
      <c r="C253" s="5">
        <v>24</v>
      </c>
      <c r="D253" s="5">
        <v>25</v>
      </c>
      <c r="E253" s="5">
        <v>36</v>
      </c>
      <c r="F253" s="5">
        <v>42</v>
      </c>
      <c r="G253" s="5">
        <v>45</v>
      </c>
      <c r="H253" s="5">
        <f t="shared" ref="H253:H257" si="52">(G253+F253+E253+D253+C253)/5</f>
        <v>34.4</v>
      </c>
      <c r="I253" s="5">
        <f t="shared" ref="I253:I257" si="53">E253</f>
        <v>36</v>
      </c>
      <c r="J253" s="8">
        <f t="shared" si="41"/>
        <v>8.5930204235763341</v>
      </c>
    </row>
    <row r="254" spans="2:10" ht="15" thickBot="1" x14ac:dyDescent="0.4">
      <c r="B254" s="4">
        <v>200</v>
      </c>
      <c r="C254" s="5">
        <v>29</v>
      </c>
      <c r="D254" s="5">
        <v>34</v>
      </c>
      <c r="E254" s="5">
        <v>38</v>
      </c>
      <c r="F254" s="5">
        <v>42</v>
      </c>
      <c r="G254" s="5">
        <v>46</v>
      </c>
      <c r="H254" s="5">
        <f t="shared" si="52"/>
        <v>37.799999999999997</v>
      </c>
      <c r="I254" s="5">
        <f t="shared" si="53"/>
        <v>38</v>
      </c>
      <c r="J254" s="8">
        <f t="shared" si="41"/>
        <v>5.9464274989274024</v>
      </c>
    </row>
    <row r="255" spans="2:10" ht="15" thickBot="1" x14ac:dyDescent="0.4">
      <c r="B255" s="4">
        <v>500</v>
      </c>
      <c r="C255" s="5">
        <v>27</v>
      </c>
      <c r="D255" s="5">
        <v>32</v>
      </c>
      <c r="E255" s="5">
        <v>41</v>
      </c>
      <c r="F255" s="5">
        <v>43</v>
      </c>
      <c r="G255" s="5">
        <v>59</v>
      </c>
      <c r="H255" s="5">
        <f t="shared" si="52"/>
        <v>40.4</v>
      </c>
      <c r="I255" s="5">
        <f t="shared" si="53"/>
        <v>41</v>
      </c>
      <c r="J255" s="8">
        <f t="shared" si="41"/>
        <v>10.983624174196786</v>
      </c>
    </row>
    <row r="256" spans="2:10" ht="15" thickBot="1" x14ac:dyDescent="0.4">
      <c r="B256" s="4">
        <v>1000</v>
      </c>
      <c r="C256" s="5">
        <v>29</v>
      </c>
      <c r="D256" s="5">
        <v>36</v>
      </c>
      <c r="E256" s="5">
        <v>45</v>
      </c>
      <c r="F256" s="5">
        <v>46</v>
      </c>
      <c r="G256" s="5">
        <v>61</v>
      </c>
      <c r="H256" s="5">
        <f t="shared" si="52"/>
        <v>43.4</v>
      </c>
      <c r="I256" s="5">
        <f t="shared" si="53"/>
        <v>45</v>
      </c>
      <c r="J256" s="10">
        <f t="shared" si="41"/>
        <v>10.781465577554844</v>
      </c>
    </row>
    <row r="257" spans="2:10" ht="15" thickBot="1" x14ac:dyDescent="0.4">
      <c r="B257" s="4">
        <v>2500</v>
      </c>
      <c r="C257" s="5">
        <v>33</v>
      </c>
      <c r="D257" s="5">
        <v>41</v>
      </c>
      <c r="E257" s="5">
        <v>46</v>
      </c>
      <c r="F257" s="5">
        <v>53</v>
      </c>
      <c r="G257" s="5">
        <v>59</v>
      </c>
      <c r="H257" s="5">
        <f t="shared" si="52"/>
        <v>46.4</v>
      </c>
      <c r="I257" s="5">
        <f t="shared" si="53"/>
        <v>46</v>
      </c>
      <c r="J257" s="8">
        <f t="shared" si="41"/>
        <v>9.0686272390037068</v>
      </c>
    </row>
    <row r="258" spans="2:10" x14ac:dyDescent="0.35">
      <c r="J258" s="11"/>
    </row>
    <row r="259" spans="2:10" ht="15" thickBot="1" x14ac:dyDescent="0.4">
      <c r="J259" s="11"/>
    </row>
    <row r="260" spans="2:10" ht="15" thickBot="1" x14ac:dyDescent="0.4">
      <c r="B260" s="19" t="s">
        <v>14</v>
      </c>
      <c r="C260" s="20"/>
      <c r="D260" s="20"/>
      <c r="E260" s="20"/>
      <c r="F260" s="20"/>
      <c r="G260" s="21"/>
      <c r="H260" s="3"/>
      <c r="I260" s="17"/>
      <c r="J260" s="8"/>
    </row>
    <row r="261" spans="2:10" ht="28.5" thickBot="1" x14ac:dyDescent="0.4">
      <c r="B261" s="4"/>
      <c r="C261" s="5">
        <v>1</v>
      </c>
      <c r="D261" s="5">
        <v>2</v>
      </c>
      <c r="E261" s="5">
        <v>3</v>
      </c>
      <c r="F261" s="5">
        <v>4</v>
      </c>
      <c r="G261" s="5">
        <v>5</v>
      </c>
      <c r="H261" s="5" t="s">
        <v>1</v>
      </c>
      <c r="I261" s="5" t="s">
        <v>2</v>
      </c>
      <c r="J261" s="13" t="s">
        <v>3</v>
      </c>
    </row>
    <row r="262" spans="2:10" ht="15" thickBot="1" x14ac:dyDescent="0.4">
      <c r="B262" s="4">
        <v>10</v>
      </c>
      <c r="C262" s="5">
        <v>23</v>
      </c>
      <c r="D262" s="5">
        <v>26</v>
      </c>
      <c r="E262" s="5">
        <v>31</v>
      </c>
      <c r="F262" s="5">
        <v>36</v>
      </c>
      <c r="G262" s="5">
        <v>39</v>
      </c>
      <c r="H262" s="5">
        <f>(G262+F262+E262+D262+C262)/5</f>
        <v>31</v>
      </c>
      <c r="I262" s="5">
        <f>E262</f>
        <v>31</v>
      </c>
      <c r="J262" s="8">
        <f t="shared" si="41"/>
        <v>5.9665735560705189</v>
      </c>
    </row>
    <row r="263" spans="2:10" ht="15" thickBot="1" x14ac:dyDescent="0.4">
      <c r="B263" s="4">
        <v>100</v>
      </c>
      <c r="C263" s="5">
        <v>28</v>
      </c>
      <c r="D263" s="5">
        <v>31</v>
      </c>
      <c r="E263" s="5">
        <v>36</v>
      </c>
      <c r="F263" s="5">
        <v>38</v>
      </c>
      <c r="G263" s="5">
        <v>58</v>
      </c>
      <c r="H263" s="5">
        <f t="shared" ref="H263:H267" si="54">(G263+F263+E263+D263+C263)/5</f>
        <v>38.200000000000003</v>
      </c>
      <c r="I263" s="5">
        <f t="shared" ref="I263:I267" si="55">E263</f>
        <v>36</v>
      </c>
      <c r="J263" s="8">
        <f t="shared" si="41"/>
        <v>10.514751542475931</v>
      </c>
    </row>
    <row r="264" spans="2:10" ht="15" thickBot="1" x14ac:dyDescent="0.4">
      <c r="B264" s="4">
        <v>200</v>
      </c>
      <c r="C264" s="5">
        <v>21</v>
      </c>
      <c r="D264" s="5">
        <v>29</v>
      </c>
      <c r="E264" s="5">
        <v>37</v>
      </c>
      <c r="F264" s="5">
        <v>49</v>
      </c>
      <c r="G264" s="5">
        <v>63</v>
      </c>
      <c r="H264" s="5">
        <f t="shared" si="54"/>
        <v>39.799999999999997</v>
      </c>
      <c r="I264" s="5">
        <f t="shared" si="55"/>
        <v>37</v>
      </c>
      <c r="J264" s="8">
        <f t="shared" ref="J264:J327" si="56">(((C264-H264)^2 +(D264-H264)^2 + (E264-H264)^2 + (F264-H264)^2 + (G264-H264)^2)/5)^0.5</f>
        <v>14.837789592793126</v>
      </c>
    </row>
    <row r="265" spans="2:10" ht="15" thickBot="1" x14ac:dyDescent="0.4">
      <c r="B265" s="4">
        <v>500</v>
      </c>
      <c r="C265" s="5">
        <v>32</v>
      </c>
      <c r="D265" s="5">
        <v>38</v>
      </c>
      <c r="E265" s="5">
        <v>43</v>
      </c>
      <c r="F265" s="5">
        <v>50</v>
      </c>
      <c r="G265" s="5">
        <v>59</v>
      </c>
      <c r="H265" s="5">
        <f t="shared" si="54"/>
        <v>44.4</v>
      </c>
      <c r="I265" s="5">
        <f t="shared" si="55"/>
        <v>43</v>
      </c>
      <c r="J265" s="8">
        <f t="shared" si="56"/>
        <v>9.3936148526539025</v>
      </c>
    </row>
    <row r="266" spans="2:10" ht="15" thickBot="1" x14ac:dyDescent="0.4">
      <c r="B266" s="4">
        <v>1000</v>
      </c>
      <c r="C266" s="5">
        <v>37</v>
      </c>
      <c r="D266" s="5">
        <v>40</v>
      </c>
      <c r="E266" s="5">
        <v>44</v>
      </c>
      <c r="F266" s="5">
        <v>49</v>
      </c>
      <c r="G266" s="5">
        <v>55</v>
      </c>
      <c r="H266" s="5">
        <f t="shared" si="54"/>
        <v>45</v>
      </c>
      <c r="I266" s="5">
        <f t="shared" si="55"/>
        <v>44</v>
      </c>
      <c r="J266" s="10">
        <f t="shared" si="56"/>
        <v>6.4187226143524851</v>
      </c>
    </row>
    <row r="267" spans="2:10" ht="15" thickBot="1" x14ac:dyDescent="0.4">
      <c r="B267" s="4">
        <v>2500</v>
      </c>
      <c r="C267" s="5">
        <v>43</v>
      </c>
      <c r="D267" s="5">
        <v>49</v>
      </c>
      <c r="E267" s="5">
        <v>53</v>
      </c>
      <c r="F267" s="5">
        <v>55</v>
      </c>
      <c r="G267" s="5">
        <v>57</v>
      </c>
      <c r="H267" s="5">
        <f t="shared" si="54"/>
        <v>51.4</v>
      </c>
      <c r="I267" s="5">
        <f t="shared" si="55"/>
        <v>53</v>
      </c>
      <c r="J267" s="8">
        <f t="shared" si="56"/>
        <v>4.9638694583963421</v>
      </c>
    </row>
    <row r="268" spans="2:10" x14ac:dyDescent="0.35">
      <c r="J268" s="11"/>
    </row>
    <row r="269" spans="2:10" ht="15" thickBot="1" x14ac:dyDescent="0.4">
      <c r="J269" s="11"/>
    </row>
    <row r="270" spans="2:10" ht="15" thickBot="1" x14ac:dyDescent="0.4">
      <c r="B270" s="19" t="s">
        <v>8</v>
      </c>
      <c r="C270" s="20"/>
      <c r="D270" s="20"/>
      <c r="E270" s="20"/>
      <c r="F270" s="20"/>
      <c r="G270" s="21"/>
      <c r="H270" s="3"/>
      <c r="I270" s="17"/>
      <c r="J270" s="8"/>
    </row>
    <row r="271" spans="2:10" ht="28.5" thickBot="1" x14ac:dyDescent="0.4">
      <c r="B271" s="4"/>
      <c r="C271" s="5">
        <v>1</v>
      </c>
      <c r="D271" s="5">
        <v>2</v>
      </c>
      <c r="E271" s="5">
        <v>3</v>
      </c>
      <c r="F271" s="5">
        <v>4</v>
      </c>
      <c r="G271" s="5">
        <v>5</v>
      </c>
      <c r="H271" s="5" t="s">
        <v>1</v>
      </c>
      <c r="I271" s="5" t="s">
        <v>2</v>
      </c>
      <c r="J271" s="13" t="s">
        <v>3</v>
      </c>
    </row>
    <row r="272" spans="2:10" ht="15" thickBot="1" x14ac:dyDescent="0.4">
      <c r="B272" s="4">
        <v>1</v>
      </c>
      <c r="C272" s="5">
        <v>22</v>
      </c>
      <c r="D272" s="5">
        <v>26</v>
      </c>
      <c r="E272" s="5">
        <v>29</v>
      </c>
      <c r="F272" s="5">
        <v>31</v>
      </c>
      <c r="G272" s="5">
        <v>33</v>
      </c>
      <c r="H272" s="5">
        <f>(G272+F272+E272+D272+C272)/5</f>
        <v>28.2</v>
      </c>
      <c r="I272" s="5">
        <f>E272</f>
        <v>29</v>
      </c>
      <c r="J272" s="8">
        <f t="shared" si="56"/>
        <v>3.8678159211627432</v>
      </c>
    </row>
    <row r="273" spans="2:10" ht="15" thickBot="1" x14ac:dyDescent="0.4">
      <c r="B273" s="4">
        <v>3</v>
      </c>
      <c r="C273" s="5">
        <v>26</v>
      </c>
      <c r="D273" s="5">
        <v>29</v>
      </c>
      <c r="E273" s="5">
        <v>30</v>
      </c>
      <c r="F273" s="5">
        <v>33</v>
      </c>
      <c r="G273" s="5">
        <v>43</v>
      </c>
      <c r="H273" s="5">
        <f t="shared" ref="H273:H277" si="57">(G273+F273+E273+D273+C273)/5</f>
        <v>32.200000000000003</v>
      </c>
      <c r="I273" s="5">
        <f t="shared" ref="I273:I277" si="58">E273</f>
        <v>30</v>
      </c>
      <c r="J273" s="8">
        <f t="shared" si="56"/>
        <v>5.8446556784809838</v>
      </c>
    </row>
    <row r="274" spans="2:10" ht="15" thickBot="1" x14ac:dyDescent="0.4">
      <c r="B274" s="4">
        <v>5</v>
      </c>
      <c r="C274" s="5">
        <v>21</v>
      </c>
      <c r="D274" s="5">
        <v>28</v>
      </c>
      <c r="E274" s="5">
        <v>33</v>
      </c>
      <c r="F274" s="5">
        <v>35</v>
      </c>
      <c r="G274" s="5">
        <v>50</v>
      </c>
      <c r="H274" s="5">
        <f t="shared" si="57"/>
        <v>33.4</v>
      </c>
      <c r="I274" s="5">
        <f t="shared" si="58"/>
        <v>33</v>
      </c>
      <c r="J274" s="8">
        <f t="shared" si="56"/>
        <v>9.6041657628343753</v>
      </c>
    </row>
    <row r="275" spans="2:10" ht="15" thickBot="1" x14ac:dyDescent="0.4">
      <c r="B275" s="4">
        <v>8</v>
      </c>
      <c r="C275" s="5">
        <v>28</v>
      </c>
      <c r="D275" s="5">
        <v>32</v>
      </c>
      <c r="E275" s="5">
        <v>37</v>
      </c>
      <c r="F275" s="5">
        <v>38</v>
      </c>
      <c r="G275" s="5">
        <v>53</v>
      </c>
      <c r="H275" s="5">
        <f t="shared" si="57"/>
        <v>37.6</v>
      </c>
      <c r="I275" s="5">
        <f t="shared" si="58"/>
        <v>37</v>
      </c>
      <c r="J275" s="8">
        <f t="shared" si="56"/>
        <v>8.4994117443503114</v>
      </c>
    </row>
    <row r="276" spans="2:10" ht="15" thickBot="1" x14ac:dyDescent="0.4">
      <c r="B276" s="4">
        <v>10</v>
      </c>
      <c r="C276" s="5">
        <v>32</v>
      </c>
      <c r="D276" s="5">
        <v>35</v>
      </c>
      <c r="E276" s="5">
        <v>40</v>
      </c>
      <c r="F276" s="5">
        <v>43</v>
      </c>
      <c r="G276" s="5">
        <v>57</v>
      </c>
      <c r="H276" s="5">
        <f t="shared" si="57"/>
        <v>41.4</v>
      </c>
      <c r="I276" s="5">
        <f t="shared" si="58"/>
        <v>40</v>
      </c>
      <c r="J276" s="10">
        <f t="shared" si="56"/>
        <v>8.6856203002433858</v>
      </c>
    </row>
    <row r="277" spans="2:10" ht="15" thickBot="1" x14ac:dyDescent="0.4">
      <c r="B277" s="4">
        <v>11</v>
      </c>
      <c r="C277" s="5">
        <v>27</v>
      </c>
      <c r="D277" s="5">
        <v>30</v>
      </c>
      <c r="E277" s="5">
        <v>47</v>
      </c>
      <c r="F277" s="5">
        <v>49</v>
      </c>
      <c r="G277" s="5">
        <v>67</v>
      </c>
      <c r="H277" s="5">
        <f t="shared" si="57"/>
        <v>44</v>
      </c>
      <c r="I277" s="5">
        <f t="shared" si="58"/>
        <v>47</v>
      </c>
      <c r="J277" s="8">
        <f t="shared" si="56"/>
        <v>14.477568856683085</v>
      </c>
    </row>
    <row r="278" spans="2:10" x14ac:dyDescent="0.35">
      <c r="J278" s="11"/>
    </row>
    <row r="279" spans="2:10" ht="15" thickBot="1" x14ac:dyDescent="0.4">
      <c r="J279" s="11"/>
    </row>
    <row r="280" spans="2:10" ht="15" thickBot="1" x14ac:dyDescent="0.4">
      <c r="B280" s="19" t="s">
        <v>9</v>
      </c>
      <c r="C280" s="20"/>
      <c r="D280" s="20"/>
      <c r="E280" s="20"/>
      <c r="F280" s="20"/>
      <c r="G280" s="21"/>
      <c r="H280" s="3"/>
      <c r="I280" s="17"/>
      <c r="J280" s="8"/>
    </row>
    <row r="281" spans="2:10" ht="28.5" thickBot="1" x14ac:dyDescent="0.4">
      <c r="B281" s="4"/>
      <c r="C281" s="5">
        <v>1</v>
      </c>
      <c r="D281" s="5">
        <v>2</v>
      </c>
      <c r="E281" s="5">
        <v>3</v>
      </c>
      <c r="F281" s="5">
        <v>4</v>
      </c>
      <c r="G281" s="5">
        <v>5</v>
      </c>
      <c r="H281" s="5" t="s">
        <v>1</v>
      </c>
      <c r="I281" s="5" t="s">
        <v>2</v>
      </c>
      <c r="J281" s="13" t="s">
        <v>3</v>
      </c>
    </row>
    <row r="282" spans="2:10" ht="15" thickBot="1" x14ac:dyDescent="0.4">
      <c r="B282" s="4">
        <v>1</v>
      </c>
      <c r="C282" s="5">
        <v>25</v>
      </c>
      <c r="D282" s="5">
        <v>29</v>
      </c>
      <c r="E282" s="5">
        <v>31</v>
      </c>
      <c r="F282" s="5">
        <v>36</v>
      </c>
      <c r="G282" s="5">
        <v>39</v>
      </c>
      <c r="H282" s="5">
        <f>(G282+F282+E282+D282+C282)/5</f>
        <v>32</v>
      </c>
      <c r="I282" s="5">
        <f>E282</f>
        <v>31</v>
      </c>
      <c r="J282" s="8">
        <f t="shared" si="56"/>
        <v>4.9799598391954927</v>
      </c>
    </row>
    <row r="283" spans="2:10" ht="15" thickBot="1" x14ac:dyDescent="0.4">
      <c r="B283" s="4">
        <v>3</v>
      </c>
      <c r="C283" s="5">
        <v>30</v>
      </c>
      <c r="D283" s="5">
        <v>31</v>
      </c>
      <c r="E283" s="5">
        <v>34</v>
      </c>
      <c r="F283" s="5">
        <v>37</v>
      </c>
      <c r="G283" s="5">
        <v>42</v>
      </c>
      <c r="H283" s="5">
        <f t="shared" ref="H283:H287" si="59">(G283+F283+E283+D283+C283)/5</f>
        <v>34.799999999999997</v>
      </c>
      <c r="I283" s="5">
        <f t="shared" ref="I283:I287" si="60">E283</f>
        <v>34</v>
      </c>
      <c r="J283" s="8">
        <f t="shared" si="56"/>
        <v>4.3543082114154483</v>
      </c>
    </row>
    <row r="284" spans="2:10" ht="15" thickBot="1" x14ac:dyDescent="0.4">
      <c r="B284" s="4">
        <v>5</v>
      </c>
      <c r="C284" s="5">
        <v>31</v>
      </c>
      <c r="D284" s="5">
        <v>34</v>
      </c>
      <c r="E284" s="5">
        <v>38</v>
      </c>
      <c r="F284" s="5">
        <v>40</v>
      </c>
      <c r="G284" s="5">
        <v>44</v>
      </c>
      <c r="H284" s="5">
        <f t="shared" si="59"/>
        <v>37.4</v>
      </c>
      <c r="I284" s="5">
        <f t="shared" si="60"/>
        <v>38</v>
      </c>
      <c r="J284" s="8">
        <f t="shared" si="56"/>
        <v>4.5431266766402185</v>
      </c>
    </row>
    <row r="285" spans="2:10" ht="15" thickBot="1" x14ac:dyDescent="0.4">
      <c r="B285" s="4">
        <v>8</v>
      </c>
      <c r="C285" s="5">
        <v>96</v>
      </c>
      <c r="D285" s="5">
        <v>99</v>
      </c>
      <c r="E285" s="5">
        <v>100</v>
      </c>
      <c r="F285" s="5">
        <v>108</v>
      </c>
      <c r="G285" s="5">
        <v>111</v>
      </c>
      <c r="H285" s="5">
        <f t="shared" si="59"/>
        <v>102.8</v>
      </c>
      <c r="I285" s="5">
        <f t="shared" si="60"/>
        <v>100</v>
      </c>
      <c r="J285" s="8">
        <f t="shared" si="56"/>
        <v>5.7061370470748427</v>
      </c>
    </row>
    <row r="286" spans="2:10" ht="15" thickBot="1" x14ac:dyDescent="0.4">
      <c r="B286" s="4">
        <v>10</v>
      </c>
      <c r="C286" s="5">
        <v>8935</v>
      </c>
      <c r="D286" s="5">
        <v>9072</v>
      </c>
      <c r="E286" s="5">
        <v>10328</v>
      </c>
      <c r="F286" s="5">
        <v>10563</v>
      </c>
      <c r="G286" s="5">
        <v>11244</v>
      </c>
      <c r="H286" s="5">
        <f t="shared" si="59"/>
        <v>10028.4</v>
      </c>
      <c r="I286" s="5">
        <f t="shared" si="60"/>
        <v>10328</v>
      </c>
      <c r="J286" s="10">
        <f t="shared" si="56"/>
        <v>890.33310620239206</v>
      </c>
    </row>
    <row r="287" spans="2:10" ht="15" thickBot="1" x14ac:dyDescent="0.4">
      <c r="B287" s="4">
        <v>11</v>
      </c>
      <c r="C287" s="5">
        <v>10451</v>
      </c>
      <c r="D287" s="5">
        <v>10982</v>
      </c>
      <c r="E287" s="5">
        <v>12247</v>
      </c>
      <c r="F287" s="5">
        <v>12734</v>
      </c>
      <c r="G287" s="5">
        <v>12994</v>
      </c>
      <c r="H287" s="5">
        <f t="shared" si="59"/>
        <v>11881.6</v>
      </c>
      <c r="I287" s="5">
        <f t="shared" si="60"/>
        <v>12247</v>
      </c>
      <c r="J287" s="10">
        <f t="shared" si="56"/>
        <v>995.33242688058738</v>
      </c>
    </row>
    <row r="288" spans="2:10" x14ac:dyDescent="0.35">
      <c r="J288" s="11"/>
    </row>
    <row r="289" spans="2:10" x14ac:dyDescent="0.35">
      <c r="J289" s="11"/>
    </row>
    <row r="290" spans="2:10" ht="29" x14ac:dyDescent="0.35">
      <c r="B290" s="15" t="s">
        <v>17</v>
      </c>
      <c r="J290" s="11"/>
    </row>
    <row r="291" spans="2:10" ht="15" thickBot="1" x14ac:dyDescent="0.4">
      <c r="J291" s="11"/>
    </row>
    <row r="292" spans="2:10" ht="15" thickBot="1" x14ac:dyDescent="0.4">
      <c r="B292" s="19" t="s">
        <v>0</v>
      </c>
      <c r="C292" s="20"/>
      <c r="D292" s="20"/>
      <c r="E292" s="20"/>
      <c r="F292" s="20"/>
      <c r="G292" s="21"/>
      <c r="H292" s="3"/>
      <c r="I292" s="17"/>
      <c r="J292" s="8"/>
    </row>
    <row r="293" spans="2:10" ht="28.5" thickBot="1" x14ac:dyDescent="0.4">
      <c r="B293" s="4"/>
      <c r="C293" s="5">
        <v>1</v>
      </c>
      <c r="D293" s="5">
        <v>2</v>
      </c>
      <c r="E293" s="5">
        <v>3</v>
      </c>
      <c r="F293" s="5">
        <v>4</v>
      </c>
      <c r="G293" s="5">
        <v>5</v>
      </c>
      <c r="H293" s="5" t="s">
        <v>1</v>
      </c>
      <c r="I293" s="5" t="s">
        <v>2</v>
      </c>
      <c r="J293" s="13" t="s">
        <v>3</v>
      </c>
    </row>
    <row r="294" spans="2:10" ht="15" thickBot="1" x14ac:dyDescent="0.4">
      <c r="B294" s="4">
        <v>10</v>
      </c>
      <c r="C294" s="5">
        <v>31</v>
      </c>
      <c r="D294" s="5">
        <v>33</v>
      </c>
      <c r="E294" s="5">
        <v>34</v>
      </c>
      <c r="F294" s="5">
        <v>37</v>
      </c>
      <c r="G294" s="5">
        <v>44</v>
      </c>
      <c r="H294" s="5">
        <f>(G294+F294+E294+D294+C294)/5</f>
        <v>35.799999999999997</v>
      </c>
      <c r="I294" s="5">
        <f>E294</f>
        <v>34</v>
      </c>
      <c r="J294" s="8">
        <f t="shared" si="56"/>
        <v>4.5343136195018534</v>
      </c>
    </row>
    <row r="295" spans="2:10" ht="15" thickBot="1" x14ac:dyDescent="0.4">
      <c r="B295" s="4">
        <v>100</v>
      </c>
      <c r="C295" s="5">
        <v>28</v>
      </c>
      <c r="D295" s="5">
        <v>33</v>
      </c>
      <c r="E295" s="5">
        <v>39</v>
      </c>
      <c r="F295" s="5">
        <v>40</v>
      </c>
      <c r="G295" s="5">
        <v>42</v>
      </c>
      <c r="H295" s="5">
        <f t="shared" ref="H295:H299" si="61">(G295+F295+E295+D295+C295)/5</f>
        <v>36.4</v>
      </c>
      <c r="I295" s="5">
        <f t="shared" ref="I295:I299" si="62">E295</f>
        <v>39</v>
      </c>
      <c r="J295" s="8">
        <f t="shared" si="56"/>
        <v>5.1613951602255757</v>
      </c>
    </row>
    <row r="296" spans="2:10" ht="15" thickBot="1" x14ac:dyDescent="0.4">
      <c r="B296" s="4">
        <v>200</v>
      </c>
      <c r="C296" s="5">
        <v>32</v>
      </c>
      <c r="D296" s="5">
        <v>34</v>
      </c>
      <c r="E296" s="5">
        <v>37</v>
      </c>
      <c r="F296" s="5">
        <v>44</v>
      </c>
      <c r="G296" s="5">
        <v>45</v>
      </c>
      <c r="H296" s="5">
        <f t="shared" si="61"/>
        <v>38.4</v>
      </c>
      <c r="I296" s="5">
        <f t="shared" si="62"/>
        <v>37</v>
      </c>
      <c r="J296" s="8">
        <f t="shared" si="56"/>
        <v>5.2383203414835178</v>
      </c>
    </row>
    <row r="297" spans="2:10" ht="15" thickBot="1" x14ac:dyDescent="0.4">
      <c r="B297" s="4">
        <v>500</v>
      </c>
      <c r="C297" s="5">
        <v>27</v>
      </c>
      <c r="D297" s="5">
        <v>32</v>
      </c>
      <c r="E297" s="5">
        <v>35</v>
      </c>
      <c r="F297" s="5">
        <v>41</v>
      </c>
      <c r="G297" s="5">
        <v>45</v>
      </c>
      <c r="H297" s="5">
        <f t="shared" si="61"/>
        <v>36</v>
      </c>
      <c r="I297" s="5">
        <f t="shared" si="62"/>
        <v>35</v>
      </c>
      <c r="J297" s="8">
        <f t="shared" si="56"/>
        <v>6.3874877690685246</v>
      </c>
    </row>
    <row r="298" spans="2:10" ht="15" thickBot="1" x14ac:dyDescent="0.4">
      <c r="B298" s="4">
        <v>1000</v>
      </c>
      <c r="C298" s="5">
        <v>33</v>
      </c>
      <c r="D298" s="5">
        <v>35</v>
      </c>
      <c r="E298" s="5">
        <v>37</v>
      </c>
      <c r="F298" s="5">
        <v>39</v>
      </c>
      <c r="G298" s="5">
        <v>43</v>
      </c>
      <c r="H298" s="5">
        <f t="shared" si="61"/>
        <v>37.4</v>
      </c>
      <c r="I298" s="5">
        <f t="shared" si="62"/>
        <v>37</v>
      </c>
      <c r="J298" s="10">
        <f t="shared" si="56"/>
        <v>3.4409301068170506</v>
      </c>
    </row>
    <row r="299" spans="2:10" ht="15" thickBot="1" x14ac:dyDescent="0.4">
      <c r="B299" s="4">
        <v>2500</v>
      </c>
      <c r="C299" s="5">
        <v>26</v>
      </c>
      <c r="D299" s="5">
        <v>30</v>
      </c>
      <c r="E299" s="5">
        <v>33</v>
      </c>
      <c r="F299" s="5">
        <v>43</v>
      </c>
      <c r="G299" s="5">
        <v>46</v>
      </c>
      <c r="H299" s="5">
        <f t="shared" si="61"/>
        <v>35.6</v>
      </c>
      <c r="I299" s="5">
        <f t="shared" si="62"/>
        <v>33</v>
      </c>
      <c r="J299" s="8">
        <f t="shared" si="56"/>
        <v>7.657675887630659</v>
      </c>
    </row>
    <row r="300" spans="2:10" x14ac:dyDescent="0.35">
      <c r="J300" s="11"/>
    </row>
    <row r="301" spans="2:10" ht="15" thickBot="1" x14ac:dyDescent="0.4">
      <c r="J301" s="11"/>
    </row>
    <row r="302" spans="2:10" ht="15" thickBot="1" x14ac:dyDescent="0.4">
      <c r="B302" s="19" t="s">
        <v>4</v>
      </c>
      <c r="C302" s="20"/>
      <c r="D302" s="20"/>
      <c r="E302" s="20"/>
      <c r="F302" s="20"/>
      <c r="G302" s="21"/>
      <c r="H302" s="3"/>
      <c r="I302" s="17"/>
      <c r="J302" s="8"/>
    </row>
    <row r="303" spans="2:10" ht="28.5" thickBot="1" x14ac:dyDescent="0.4">
      <c r="B303" s="4"/>
      <c r="C303" s="5">
        <v>1</v>
      </c>
      <c r="D303" s="5">
        <v>2</v>
      </c>
      <c r="E303" s="5">
        <v>3</v>
      </c>
      <c r="F303" s="5">
        <v>4</v>
      </c>
      <c r="G303" s="5">
        <v>5</v>
      </c>
      <c r="H303" s="5" t="s">
        <v>1</v>
      </c>
      <c r="I303" s="5" t="s">
        <v>2</v>
      </c>
      <c r="J303" s="13" t="s">
        <v>3</v>
      </c>
    </row>
    <row r="304" spans="2:10" ht="15" thickBot="1" x14ac:dyDescent="0.4">
      <c r="B304" s="4">
        <v>10</v>
      </c>
      <c r="C304" s="5">
        <v>23</v>
      </c>
      <c r="D304" s="5">
        <v>25</v>
      </c>
      <c r="E304" s="5">
        <v>28</v>
      </c>
      <c r="F304" s="5">
        <v>30</v>
      </c>
      <c r="G304" s="5">
        <v>35</v>
      </c>
      <c r="H304" s="5">
        <f>(G304+F304+E304+D304+C304)/5</f>
        <v>28.2</v>
      </c>
      <c r="I304" s="5">
        <f>E304</f>
        <v>28</v>
      </c>
      <c r="J304" s="8">
        <f t="shared" si="56"/>
        <v>4.1665333311999317</v>
      </c>
    </row>
    <row r="305" spans="2:10" ht="15" thickBot="1" x14ac:dyDescent="0.4">
      <c r="B305" s="4">
        <v>100</v>
      </c>
      <c r="C305" s="5">
        <v>22</v>
      </c>
      <c r="D305" s="5">
        <v>24</v>
      </c>
      <c r="E305" s="5">
        <v>29</v>
      </c>
      <c r="F305" s="5">
        <v>32</v>
      </c>
      <c r="G305" s="5">
        <v>37</v>
      </c>
      <c r="H305" s="5">
        <f t="shared" ref="H305:H309" si="63">(G305+F305+E305+D305+C305)/5</f>
        <v>28.8</v>
      </c>
      <c r="I305" s="5">
        <f t="shared" ref="I305:I309" si="64">E305</f>
        <v>29</v>
      </c>
      <c r="J305" s="8">
        <f t="shared" si="56"/>
        <v>5.4184868736576268</v>
      </c>
    </row>
    <row r="306" spans="2:10" ht="15" thickBot="1" x14ac:dyDescent="0.4">
      <c r="B306" s="4">
        <v>200</v>
      </c>
      <c r="C306" s="5">
        <v>23</v>
      </c>
      <c r="D306" s="5">
        <v>25</v>
      </c>
      <c r="E306" s="5">
        <v>31</v>
      </c>
      <c r="F306" s="5">
        <v>36</v>
      </c>
      <c r="G306" s="5">
        <v>37</v>
      </c>
      <c r="H306" s="5">
        <f t="shared" si="63"/>
        <v>30.4</v>
      </c>
      <c r="I306" s="5">
        <f t="shared" si="64"/>
        <v>31</v>
      </c>
      <c r="J306" s="8">
        <f t="shared" si="56"/>
        <v>5.6426943918663532</v>
      </c>
    </row>
    <row r="307" spans="2:10" ht="15" thickBot="1" x14ac:dyDescent="0.4">
      <c r="B307" s="4">
        <v>500</v>
      </c>
      <c r="C307" s="5">
        <v>28</v>
      </c>
      <c r="D307" s="5">
        <v>31</v>
      </c>
      <c r="E307" s="5">
        <v>38</v>
      </c>
      <c r="F307" s="5">
        <v>40</v>
      </c>
      <c r="G307" s="5">
        <v>43</v>
      </c>
      <c r="H307" s="5">
        <f t="shared" si="63"/>
        <v>36</v>
      </c>
      <c r="I307" s="5">
        <f t="shared" si="64"/>
        <v>38</v>
      </c>
      <c r="J307" s="8">
        <f t="shared" si="56"/>
        <v>5.6213877290220786</v>
      </c>
    </row>
    <row r="308" spans="2:10" ht="15" thickBot="1" x14ac:dyDescent="0.4">
      <c r="B308" s="4">
        <v>1000</v>
      </c>
      <c r="C308" s="5">
        <v>30</v>
      </c>
      <c r="D308" s="5">
        <v>32</v>
      </c>
      <c r="E308" s="5">
        <v>40</v>
      </c>
      <c r="F308" s="5">
        <v>42</v>
      </c>
      <c r="G308" s="5">
        <v>46</v>
      </c>
      <c r="H308" s="5">
        <f t="shared" si="63"/>
        <v>38</v>
      </c>
      <c r="I308" s="5">
        <f t="shared" si="64"/>
        <v>40</v>
      </c>
      <c r="J308" s="10">
        <f t="shared" si="56"/>
        <v>6.06630035524124</v>
      </c>
    </row>
    <row r="309" spans="2:10" ht="15" thickBot="1" x14ac:dyDescent="0.4">
      <c r="B309" s="4">
        <v>2500</v>
      </c>
      <c r="C309" s="5">
        <v>32</v>
      </c>
      <c r="D309" s="5">
        <v>34</v>
      </c>
      <c r="E309" s="5">
        <v>43</v>
      </c>
      <c r="F309" s="5">
        <v>44</v>
      </c>
      <c r="G309" s="5">
        <v>54</v>
      </c>
      <c r="H309" s="5">
        <f t="shared" si="63"/>
        <v>41.4</v>
      </c>
      <c r="I309" s="5">
        <f t="shared" si="64"/>
        <v>43</v>
      </c>
      <c r="J309" s="8">
        <f t="shared" si="56"/>
        <v>7.8892331693264088</v>
      </c>
    </row>
    <row r="310" spans="2:10" x14ac:dyDescent="0.35">
      <c r="J310" s="11"/>
    </row>
    <row r="311" spans="2:10" ht="15" thickBot="1" x14ac:dyDescent="0.4">
      <c r="J311" s="11"/>
    </row>
    <row r="312" spans="2:10" ht="15" thickBot="1" x14ac:dyDescent="0.4">
      <c r="B312" s="19" t="s">
        <v>5</v>
      </c>
      <c r="C312" s="20"/>
      <c r="D312" s="20"/>
      <c r="E312" s="20"/>
      <c r="F312" s="20"/>
      <c r="G312" s="21"/>
      <c r="H312" s="3"/>
      <c r="I312" s="17"/>
      <c r="J312" s="8"/>
    </row>
    <row r="313" spans="2:10" ht="28.5" thickBot="1" x14ac:dyDescent="0.4">
      <c r="B313" s="4"/>
      <c r="C313" s="5">
        <v>1</v>
      </c>
      <c r="D313" s="5">
        <v>2</v>
      </c>
      <c r="E313" s="5">
        <v>3</v>
      </c>
      <c r="F313" s="5">
        <v>4</v>
      </c>
      <c r="G313" s="5">
        <v>5</v>
      </c>
      <c r="H313" s="5" t="s">
        <v>1</v>
      </c>
      <c r="I313" s="5" t="s">
        <v>2</v>
      </c>
      <c r="J313" s="13" t="s">
        <v>3</v>
      </c>
    </row>
    <row r="314" spans="2:10" ht="15" thickBot="1" x14ac:dyDescent="0.4">
      <c r="B314" s="4">
        <v>10</v>
      </c>
      <c r="C314" s="5">
        <v>22</v>
      </c>
      <c r="D314" s="5">
        <v>23</v>
      </c>
      <c r="E314" s="5">
        <v>27</v>
      </c>
      <c r="F314" s="5">
        <v>29</v>
      </c>
      <c r="G314" s="5">
        <v>31</v>
      </c>
      <c r="H314" s="5">
        <f>(G314+F314+E314+D314+C314)/5</f>
        <v>26.4</v>
      </c>
      <c r="I314" s="5">
        <f>E314</f>
        <v>27</v>
      </c>
      <c r="J314" s="8">
        <f>(((C314-H314)^2 +(D314-H314)^2 + (E314-H314)^2 + (F314-H314)^2 + (G314-H314)^2)/5)^0.5</f>
        <v>3.4409301068170506</v>
      </c>
    </row>
    <row r="315" spans="2:10" ht="15" thickBot="1" x14ac:dyDescent="0.4">
      <c r="B315" s="4">
        <v>100</v>
      </c>
      <c r="C315" s="5">
        <v>24</v>
      </c>
      <c r="D315" s="5">
        <v>25</v>
      </c>
      <c r="E315" s="5">
        <v>29</v>
      </c>
      <c r="F315" s="5">
        <v>31</v>
      </c>
      <c r="G315" s="5">
        <v>33</v>
      </c>
      <c r="H315" s="5">
        <f t="shared" ref="H315:H319" si="65">(G315+F315+E315+D315+C315)/5</f>
        <v>28.4</v>
      </c>
      <c r="I315" s="5">
        <f t="shared" ref="I315:I319" si="66">E315</f>
        <v>29</v>
      </c>
      <c r="J315" s="8">
        <f t="shared" si="56"/>
        <v>3.4409301068170506</v>
      </c>
    </row>
    <row r="316" spans="2:10" ht="15" thickBot="1" x14ac:dyDescent="0.4">
      <c r="B316" s="4">
        <v>200</v>
      </c>
      <c r="C316" s="5">
        <v>25</v>
      </c>
      <c r="D316" s="5">
        <v>27</v>
      </c>
      <c r="E316" s="5">
        <v>32</v>
      </c>
      <c r="F316" s="5">
        <v>33</v>
      </c>
      <c r="G316" s="5">
        <v>37</v>
      </c>
      <c r="H316" s="5">
        <f t="shared" si="65"/>
        <v>30.8</v>
      </c>
      <c r="I316" s="5">
        <f t="shared" si="66"/>
        <v>32</v>
      </c>
      <c r="J316" s="8">
        <f t="shared" si="56"/>
        <v>4.308131845707603</v>
      </c>
    </row>
    <row r="317" spans="2:10" ht="15" thickBot="1" x14ac:dyDescent="0.4">
      <c r="B317" s="4">
        <v>500</v>
      </c>
      <c r="C317" s="5">
        <v>28</v>
      </c>
      <c r="D317" s="5">
        <v>29</v>
      </c>
      <c r="E317" s="5">
        <v>35</v>
      </c>
      <c r="F317" s="5">
        <v>42</v>
      </c>
      <c r="G317" s="5">
        <v>45</v>
      </c>
      <c r="H317" s="5">
        <f t="shared" si="65"/>
        <v>35.799999999999997</v>
      </c>
      <c r="I317" s="5">
        <f t="shared" si="66"/>
        <v>35</v>
      </c>
      <c r="J317" s="8">
        <f t="shared" si="56"/>
        <v>6.7941151005852118</v>
      </c>
    </row>
    <row r="318" spans="2:10" ht="15" thickBot="1" x14ac:dyDescent="0.4">
      <c r="B318" s="4">
        <v>1000</v>
      </c>
      <c r="C318" s="5">
        <v>39</v>
      </c>
      <c r="D318" s="5">
        <v>46</v>
      </c>
      <c r="E318" s="5">
        <v>51</v>
      </c>
      <c r="F318" s="5">
        <v>56</v>
      </c>
      <c r="G318" s="5">
        <v>59</v>
      </c>
      <c r="H318" s="5">
        <f t="shared" si="65"/>
        <v>50.2</v>
      </c>
      <c r="I318" s="5">
        <f t="shared" si="66"/>
        <v>51</v>
      </c>
      <c r="J318" s="10">
        <f t="shared" si="56"/>
        <v>7.138627319029899</v>
      </c>
    </row>
    <row r="319" spans="2:10" ht="15" thickBot="1" x14ac:dyDescent="0.4">
      <c r="B319" s="4">
        <v>2500</v>
      </c>
      <c r="C319" s="5">
        <v>183</v>
      </c>
      <c r="D319" s="5">
        <v>190</v>
      </c>
      <c r="E319" s="5">
        <v>209</v>
      </c>
      <c r="F319" s="5">
        <v>216</v>
      </c>
      <c r="G319" s="5">
        <v>221</v>
      </c>
      <c r="H319" s="5">
        <f t="shared" si="65"/>
        <v>203.8</v>
      </c>
      <c r="I319" s="5">
        <f t="shared" si="66"/>
        <v>209</v>
      </c>
      <c r="J319" s="8">
        <f t="shared" si="56"/>
        <v>14.79729705047513</v>
      </c>
    </row>
    <row r="320" spans="2:10" x14ac:dyDescent="0.35">
      <c r="J320" s="11"/>
    </row>
    <row r="321" spans="2:10" ht="15" thickBot="1" x14ac:dyDescent="0.4">
      <c r="J321" s="11"/>
    </row>
    <row r="322" spans="2:10" ht="15" thickBot="1" x14ac:dyDescent="0.4">
      <c r="B322" s="19" t="s">
        <v>13</v>
      </c>
      <c r="C322" s="20"/>
      <c r="D322" s="20"/>
      <c r="E322" s="20"/>
      <c r="F322" s="20"/>
      <c r="G322" s="21"/>
      <c r="H322" s="3"/>
      <c r="I322" s="17"/>
      <c r="J322" s="8"/>
    </row>
    <row r="323" spans="2:10" ht="28.5" thickBot="1" x14ac:dyDescent="0.4">
      <c r="B323" s="4"/>
      <c r="C323" s="5">
        <v>1</v>
      </c>
      <c r="D323" s="5">
        <v>2</v>
      </c>
      <c r="E323" s="5">
        <v>3</v>
      </c>
      <c r="F323" s="5">
        <v>4</v>
      </c>
      <c r="G323" s="5">
        <v>5</v>
      </c>
      <c r="H323" s="5" t="s">
        <v>1</v>
      </c>
      <c r="I323" s="5" t="s">
        <v>2</v>
      </c>
      <c r="J323" s="13" t="s">
        <v>3</v>
      </c>
    </row>
    <row r="324" spans="2:10" ht="15" thickBot="1" x14ac:dyDescent="0.4">
      <c r="B324" s="4">
        <v>10</v>
      </c>
      <c r="C324" s="5">
        <v>27</v>
      </c>
      <c r="D324" s="5">
        <v>29</v>
      </c>
      <c r="E324" s="5">
        <v>30</v>
      </c>
      <c r="F324" s="5">
        <v>31</v>
      </c>
      <c r="G324" s="5">
        <v>33</v>
      </c>
      <c r="H324" s="5">
        <f>(G324+F324+E324+D324+C324)/5</f>
        <v>30</v>
      </c>
      <c r="I324" s="5">
        <f>E324</f>
        <v>30</v>
      </c>
      <c r="J324" s="8">
        <f t="shared" si="56"/>
        <v>2</v>
      </c>
    </row>
    <row r="325" spans="2:10" ht="15" thickBot="1" x14ac:dyDescent="0.4">
      <c r="B325" s="4">
        <v>100</v>
      </c>
      <c r="C325" s="5">
        <v>26</v>
      </c>
      <c r="D325" s="5">
        <v>29</v>
      </c>
      <c r="E325" s="5">
        <v>31</v>
      </c>
      <c r="F325" s="5">
        <v>34</v>
      </c>
      <c r="G325" s="5">
        <v>35</v>
      </c>
      <c r="H325" s="5">
        <f t="shared" ref="H325:H329" si="67">(G325+F325+E325+D325+C325)/5</f>
        <v>31</v>
      </c>
      <c r="I325" s="5">
        <f t="shared" ref="I325:I329" si="68">E325</f>
        <v>31</v>
      </c>
      <c r="J325" s="8">
        <f t="shared" si="56"/>
        <v>3.2863353450309969</v>
      </c>
    </row>
    <row r="326" spans="2:10" ht="15" thickBot="1" x14ac:dyDescent="0.4">
      <c r="B326" s="4">
        <v>200</v>
      </c>
      <c r="C326" s="5">
        <v>26</v>
      </c>
      <c r="D326" s="5">
        <v>32</v>
      </c>
      <c r="E326" s="5">
        <v>33</v>
      </c>
      <c r="F326" s="5">
        <v>35</v>
      </c>
      <c r="G326" s="5">
        <v>42</v>
      </c>
      <c r="H326" s="5">
        <f t="shared" si="67"/>
        <v>33.6</v>
      </c>
      <c r="I326" s="5">
        <f t="shared" si="68"/>
        <v>33</v>
      </c>
      <c r="J326" s="8">
        <f t="shared" si="56"/>
        <v>5.1613951602255757</v>
      </c>
    </row>
    <row r="327" spans="2:10" ht="15" thickBot="1" x14ac:dyDescent="0.4">
      <c r="B327" s="4">
        <v>500</v>
      </c>
      <c r="C327" s="5">
        <v>30</v>
      </c>
      <c r="D327" s="5">
        <v>36</v>
      </c>
      <c r="E327" s="5">
        <v>39</v>
      </c>
      <c r="F327" s="5">
        <v>37</v>
      </c>
      <c r="G327" s="5">
        <v>47</v>
      </c>
      <c r="H327" s="5">
        <f t="shared" si="67"/>
        <v>37.799999999999997</v>
      </c>
      <c r="I327" s="5">
        <f t="shared" si="68"/>
        <v>39</v>
      </c>
      <c r="J327" s="8">
        <f t="shared" si="56"/>
        <v>5.4918120870983929</v>
      </c>
    </row>
    <row r="328" spans="2:10" ht="15" thickBot="1" x14ac:dyDescent="0.4">
      <c r="B328" s="4">
        <v>1000</v>
      </c>
      <c r="C328" s="5">
        <v>31</v>
      </c>
      <c r="D328" s="5">
        <v>37</v>
      </c>
      <c r="E328" s="5">
        <v>41</v>
      </c>
      <c r="F328" s="5">
        <v>47</v>
      </c>
      <c r="G328" s="5">
        <v>49</v>
      </c>
      <c r="H328" s="5">
        <f t="shared" si="67"/>
        <v>41</v>
      </c>
      <c r="I328" s="5">
        <f t="shared" si="68"/>
        <v>41</v>
      </c>
      <c r="J328" s="10">
        <f t="shared" ref="J328:J359" si="69">(((C328-H328)^2 +(D328-H328)^2 + (E328-H328)^2 + (F328-H328)^2 + (G328-H328)^2)/5)^0.5</f>
        <v>6.5726706900619938</v>
      </c>
    </row>
    <row r="329" spans="2:10" ht="15" thickBot="1" x14ac:dyDescent="0.4">
      <c r="B329" s="4">
        <v>2500</v>
      </c>
      <c r="C329" s="5">
        <v>34</v>
      </c>
      <c r="D329" s="5">
        <v>36</v>
      </c>
      <c r="E329" s="5">
        <v>45</v>
      </c>
      <c r="F329" s="5">
        <v>47</v>
      </c>
      <c r="G329" s="5">
        <v>51</v>
      </c>
      <c r="H329" s="5">
        <f t="shared" si="67"/>
        <v>42.6</v>
      </c>
      <c r="I329" s="5">
        <f t="shared" si="68"/>
        <v>45</v>
      </c>
      <c r="J329" s="8">
        <f t="shared" si="69"/>
        <v>6.5299310869258029</v>
      </c>
    </row>
    <row r="330" spans="2:10" x14ac:dyDescent="0.35">
      <c r="J330" s="11"/>
    </row>
    <row r="331" spans="2:10" ht="15" thickBot="1" x14ac:dyDescent="0.4">
      <c r="J331" s="11"/>
    </row>
    <row r="332" spans="2:10" ht="15" thickBot="1" x14ac:dyDescent="0.4">
      <c r="B332" s="19" t="s">
        <v>14</v>
      </c>
      <c r="C332" s="20"/>
      <c r="D332" s="20"/>
      <c r="E332" s="20"/>
      <c r="F332" s="20"/>
      <c r="G332" s="21"/>
      <c r="H332" s="3"/>
      <c r="I332" s="17"/>
      <c r="J332" s="8"/>
    </row>
    <row r="333" spans="2:10" ht="28.5" thickBot="1" x14ac:dyDescent="0.4">
      <c r="B333" s="4"/>
      <c r="C333" s="5">
        <v>1</v>
      </c>
      <c r="D333" s="5">
        <v>2</v>
      </c>
      <c r="E333" s="5">
        <v>3</v>
      </c>
      <c r="F333" s="5">
        <v>4</v>
      </c>
      <c r="G333" s="5">
        <v>5</v>
      </c>
      <c r="H333" s="5" t="s">
        <v>1</v>
      </c>
      <c r="I333" s="5" t="s">
        <v>2</v>
      </c>
      <c r="J333" s="13" t="s">
        <v>3</v>
      </c>
    </row>
    <row r="334" spans="2:10" ht="15" thickBot="1" x14ac:dyDescent="0.4">
      <c r="B334" s="4">
        <v>10</v>
      </c>
      <c r="C334" s="5">
        <v>23</v>
      </c>
      <c r="D334" s="5">
        <v>27</v>
      </c>
      <c r="E334" s="5">
        <v>31</v>
      </c>
      <c r="F334" s="5">
        <v>32</v>
      </c>
      <c r="G334" s="5">
        <v>36</v>
      </c>
      <c r="H334" s="5">
        <f>(G334+F334+E334+D334+C334)/5</f>
        <v>29.8</v>
      </c>
      <c r="I334" s="5">
        <f>E334</f>
        <v>31</v>
      </c>
      <c r="J334" s="8">
        <f t="shared" si="69"/>
        <v>4.4452221541785732</v>
      </c>
    </row>
    <row r="335" spans="2:10" ht="15" thickBot="1" x14ac:dyDescent="0.4">
      <c r="B335" s="4">
        <v>100</v>
      </c>
      <c r="C335" s="5">
        <v>27</v>
      </c>
      <c r="D335" s="5">
        <v>29</v>
      </c>
      <c r="E335" s="5">
        <v>33</v>
      </c>
      <c r="F335" s="5">
        <v>36</v>
      </c>
      <c r="G335" s="5">
        <v>38</v>
      </c>
      <c r="H335" s="5">
        <f t="shared" ref="H335:H339" si="70">(G335+F335+E335+D335+C335)/5</f>
        <v>32.6</v>
      </c>
      <c r="I335" s="5">
        <f t="shared" ref="I335:I339" si="71">E335</f>
        <v>33</v>
      </c>
      <c r="J335" s="8">
        <f t="shared" si="69"/>
        <v>4.1279534881100588</v>
      </c>
    </row>
    <row r="336" spans="2:10" ht="15" thickBot="1" x14ac:dyDescent="0.4">
      <c r="B336" s="4">
        <v>200</v>
      </c>
      <c r="C336" s="5">
        <v>30</v>
      </c>
      <c r="D336" s="5">
        <v>32</v>
      </c>
      <c r="E336" s="5">
        <v>34</v>
      </c>
      <c r="F336" s="5">
        <v>36</v>
      </c>
      <c r="G336" s="5">
        <v>45</v>
      </c>
      <c r="H336" s="5">
        <f t="shared" si="70"/>
        <v>35.4</v>
      </c>
      <c r="I336" s="5">
        <f t="shared" si="71"/>
        <v>34</v>
      </c>
      <c r="J336" s="8">
        <f t="shared" si="69"/>
        <v>5.2</v>
      </c>
    </row>
    <row r="337" spans="2:10" ht="15" thickBot="1" x14ac:dyDescent="0.4">
      <c r="B337" s="4">
        <v>500</v>
      </c>
      <c r="C337" s="5">
        <v>31</v>
      </c>
      <c r="D337" s="5">
        <v>36</v>
      </c>
      <c r="E337" s="5">
        <v>38</v>
      </c>
      <c r="F337" s="5">
        <v>40</v>
      </c>
      <c r="G337" s="5">
        <v>44</v>
      </c>
      <c r="H337" s="5">
        <f t="shared" si="70"/>
        <v>37.799999999999997</v>
      </c>
      <c r="I337" s="5">
        <f t="shared" si="71"/>
        <v>38</v>
      </c>
      <c r="J337" s="8">
        <f t="shared" si="69"/>
        <v>4.308131845707603</v>
      </c>
    </row>
    <row r="338" spans="2:10" ht="15" thickBot="1" x14ac:dyDescent="0.4">
      <c r="B338" s="4">
        <v>1000</v>
      </c>
      <c r="C338" s="5">
        <v>36</v>
      </c>
      <c r="D338" s="5">
        <v>38</v>
      </c>
      <c r="E338" s="5">
        <v>40</v>
      </c>
      <c r="F338" s="5">
        <v>53</v>
      </c>
      <c r="G338" s="5">
        <v>59</v>
      </c>
      <c r="H338" s="5">
        <f t="shared" si="70"/>
        <v>45.2</v>
      </c>
      <c r="I338" s="5">
        <f t="shared" si="71"/>
        <v>40</v>
      </c>
      <c r="J338" s="10">
        <f t="shared" si="69"/>
        <v>9.1082380293885592</v>
      </c>
    </row>
    <row r="339" spans="2:10" ht="15" thickBot="1" x14ac:dyDescent="0.4">
      <c r="B339" s="4">
        <v>2500</v>
      </c>
      <c r="C339" s="5">
        <v>43</v>
      </c>
      <c r="D339" s="5">
        <v>46</v>
      </c>
      <c r="E339" s="5">
        <v>53</v>
      </c>
      <c r="F339" s="5">
        <v>56</v>
      </c>
      <c r="G339" s="5">
        <v>62</v>
      </c>
      <c r="H339" s="5">
        <f t="shared" si="70"/>
        <v>52</v>
      </c>
      <c r="I339" s="5">
        <f t="shared" si="71"/>
        <v>53</v>
      </c>
      <c r="J339" s="8">
        <f t="shared" si="69"/>
        <v>6.8410525505948279</v>
      </c>
    </row>
    <row r="340" spans="2:10" x14ac:dyDescent="0.35">
      <c r="J340" s="11"/>
    </row>
    <row r="341" spans="2:10" ht="15" thickBot="1" x14ac:dyDescent="0.4">
      <c r="J341" s="11"/>
    </row>
    <row r="342" spans="2:10" ht="15" thickBot="1" x14ac:dyDescent="0.4">
      <c r="B342" s="19" t="s">
        <v>8</v>
      </c>
      <c r="C342" s="20"/>
      <c r="D342" s="20"/>
      <c r="E342" s="20"/>
      <c r="F342" s="20"/>
      <c r="G342" s="21"/>
      <c r="H342" s="3"/>
      <c r="I342" s="17"/>
      <c r="J342" s="8"/>
    </row>
    <row r="343" spans="2:10" ht="28.5" thickBot="1" x14ac:dyDescent="0.4">
      <c r="B343" s="4"/>
      <c r="C343" s="5">
        <v>1</v>
      </c>
      <c r="D343" s="5">
        <v>2</v>
      </c>
      <c r="E343" s="5">
        <v>3</v>
      </c>
      <c r="F343" s="5">
        <v>4</v>
      </c>
      <c r="G343" s="5">
        <v>5</v>
      </c>
      <c r="H343" s="5" t="s">
        <v>1</v>
      </c>
      <c r="I343" s="5" t="s">
        <v>2</v>
      </c>
      <c r="J343" s="13" t="s">
        <v>3</v>
      </c>
    </row>
    <row r="344" spans="2:10" ht="15" thickBot="1" x14ac:dyDescent="0.4">
      <c r="B344" s="4">
        <v>1</v>
      </c>
      <c r="C344" s="5">
        <v>22</v>
      </c>
      <c r="D344" s="5">
        <v>24</v>
      </c>
      <c r="E344" s="5">
        <v>27</v>
      </c>
      <c r="F344" s="5">
        <v>31</v>
      </c>
      <c r="G344" s="5">
        <v>37</v>
      </c>
      <c r="H344" s="5">
        <f>(G344+F344+E344+D344+C344)/5</f>
        <v>28.2</v>
      </c>
      <c r="I344" s="5">
        <f>E344</f>
        <v>27</v>
      </c>
      <c r="J344" s="8">
        <f t="shared" si="69"/>
        <v>5.3441556863549549</v>
      </c>
    </row>
    <row r="345" spans="2:10" ht="15" thickBot="1" x14ac:dyDescent="0.4">
      <c r="B345" s="4">
        <v>3</v>
      </c>
      <c r="C345" s="5">
        <v>23</v>
      </c>
      <c r="D345" s="5">
        <v>29</v>
      </c>
      <c r="E345" s="5">
        <v>31</v>
      </c>
      <c r="F345" s="5">
        <v>32</v>
      </c>
      <c r="G345" s="5">
        <v>34</v>
      </c>
      <c r="H345" s="5">
        <f t="shared" ref="H345:H349" si="72">(G345+F345+E345+D345+C345)/5</f>
        <v>29.8</v>
      </c>
      <c r="I345" s="5">
        <f t="shared" ref="I345:I349" si="73">E345</f>
        <v>31</v>
      </c>
      <c r="J345" s="8">
        <f t="shared" si="69"/>
        <v>3.7629775444453557</v>
      </c>
    </row>
    <row r="346" spans="2:10" ht="15" thickBot="1" x14ac:dyDescent="0.4">
      <c r="B346" s="4">
        <v>5</v>
      </c>
      <c r="C346" s="5">
        <v>26</v>
      </c>
      <c r="D346" s="5">
        <v>27</v>
      </c>
      <c r="E346" s="5">
        <v>32</v>
      </c>
      <c r="F346" s="5">
        <v>35</v>
      </c>
      <c r="G346" s="5">
        <v>44</v>
      </c>
      <c r="H346" s="5">
        <f t="shared" si="72"/>
        <v>32.799999999999997</v>
      </c>
      <c r="I346" s="5">
        <f t="shared" si="73"/>
        <v>32</v>
      </c>
      <c r="J346" s="8">
        <f t="shared" si="69"/>
        <v>6.4930732322991709</v>
      </c>
    </row>
    <row r="347" spans="2:10" ht="15" thickBot="1" x14ac:dyDescent="0.4">
      <c r="B347" s="4">
        <v>8</v>
      </c>
      <c r="C347" s="5">
        <v>27</v>
      </c>
      <c r="D347" s="5">
        <v>33</v>
      </c>
      <c r="E347" s="5">
        <v>34</v>
      </c>
      <c r="F347" s="5">
        <v>38</v>
      </c>
      <c r="G347" s="5">
        <v>51</v>
      </c>
      <c r="H347" s="5">
        <f t="shared" si="72"/>
        <v>36.6</v>
      </c>
      <c r="I347" s="5">
        <f t="shared" si="73"/>
        <v>34</v>
      </c>
      <c r="J347" s="8">
        <f t="shared" si="69"/>
        <v>8.0149859638055503</v>
      </c>
    </row>
    <row r="348" spans="2:10" ht="15" thickBot="1" x14ac:dyDescent="0.4">
      <c r="B348" s="4">
        <v>10</v>
      </c>
      <c r="C348" s="5">
        <v>29</v>
      </c>
      <c r="D348" s="5">
        <v>31</v>
      </c>
      <c r="E348" s="5">
        <v>38</v>
      </c>
      <c r="F348" s="5">
        <v>40</v>
      </c>
      <c r="G348" s="5">
        <v>47</v>
      </c>
      <c r="H348" s="5">
        <f t="shared" si="72"/>
        <v>37</v>
      </c>
      <c r="I348" s="5">
        <f t="shared" si="73"/>
        <v>38</v>
      </c>
      <c r="J348" s="10">
        <f t="shared" si="69"/>
        <v>6.4807406984078604</v>
      </c>
    </row>
    <row r="349" spans="2:10" ht="15" thickBot="1" x14ac:dyDescent="0.4">
      <c r="B349" s="4">
        <v>11</v>
      </c>
      <c r="C349" s="5">
        <v>32</v>
      </c>
      <c r="D349" s="5">
        <v>36</v>
      </c>
      <c r="E349" s="5">
        <v>46</v>
      </c>
      <c r="F349" s="5">
        <v>48</v>
      </c>
      <c r="G349" s="5">
        <v>56</v>
      </c>
      <c r="H349" s="5">
        <f t="shared" si="72"/>
        <v>43.6</v>
      </c>
      <c r="I349" s="5">
        <f t="shared" si="73"/>
        <v>46</v>
      </c>
      <c r="J349" s="8">
        <f t="shared" si="69"/>
        <v>8.616263691415206</v>
      </c>
    </row>
    <row r="350" spans="2:10" x14ac:dyDescent="0.35">
      <c r="J350" s="11"/>
    </row>
    <row r="351" spans="2:10" ht="15" thickBot="1" x14ac:dyDescent="0.4">
      <c r="J351" s="11"/>
    </row>
    <row r="352" spans="2:10" ht="15" thickBot="1" x14ac:dyDescent="0.4">
      <c r="B352" s="19" t="s">
        <v>9</v>
      </c>
      <c r="C352" s="20"/>
      <c r="D352" s="20"/>
      <c r="E352" s="20"/>
      <c r="F352" s="20"/>
      <c r="G352" s="21"/>
      <c r="H352" s="3"/>
      <c r="I352" s="17"/>
      <c r="J352" s="8"/>
    </row>
    <row r="353" spans="2:10" ht="28.5" thickBot="1" x14ac:dyDescent="0.4">
      <c r="B353" s="4"/>
      <c r="C353" s="5">
        <v>1</v>
      </c>
      <c r="D353" s="5">
        <v>2</v>
      </c>
      <c r="E353" s="5">
        <v>3</v>
      </c>
      <c r="F353" s="5">
        <v>4</v>
      </c>
      <c r="G353" s="5">
        <v>5</v>
      </c>
      <c r="H353" s="5" t="s">
        <v>1</v>
      </c>
      <c r="I353" s="5" t="s">
        <v>2</v>
      </c>
      <c r="J353" s="13" t="s">
        <v>3</v>
      </c>
    </row>
    <row r="354" spans="2:10" ht="15" thickBot="1" x14ac:dyDescent="0.4">
      <c r="B354" s="4">
        <v>1</v>
      </c>
      <c r="C354" s="5">
        <v>21</v>
      </c>
      <c r="D354" s="5">
        <v>23</v>
      </c>
      <c r="E354" s="5">
        <v>24</v>
      </c>
      <c r="F354" s="5">
        <v>25</v>
      </c>
      <c r="G354" s="5">
        <v>29</v>
      </c>
      <c r="H354" s="5">
        <f>(G354+F354+E354+D354+C354)/5</f>
        <v>24.4</v>
      </c>
      <c r="I354" s="5">
        <f>E354</f>
        <v>24</v>
      </c>
      <c r="J354" s="8">
        <f t="shared" si="69"/>
        <v>2.6532998322843202</v>
      </c>
    </row>
    <row r="355" spans="2:10" ht="15" thickBot="1" x14ac:dyDescent="0.4">
      <c r="B355" s="4">
        <v>3</v>
      </c>
      <c r="C355" s="5">
        <v>24</v>
      </c>
      <c r="D355" s="5">
        <v>28</v>
      </c>
      <c r="E355" s="5">
        <v>31</v>
      </c>
      <c r="F355" s="5">
        <v>32</v>
      </c>
      <c r="G355" s="5">
        <v>34</v>
      </c>
      <c r="H355" s="5">
        <f t="shared" ref="H355:H359" si="74">(G355+F355+E355+D355+C355)/5</f>
        <v>29.8</v>
      </c>
      <c r="I355" s="5">
        <f t="shared" ref="I355:I359" si="75">E355</f>
        <v>31</v>
      </c>
      <c r="J355" s="8">
        <f t="shared" si="69"/>
        <v>3.4871191548325386</v>
      </c>
    </row>
    <row r="356" spans="2:10" ht="15" thickBot="1" x14ac:dyDescent="0.4">
      <c r="B356" s="4">
        <v>5</v>
      </c>
      <c r="C356" s="5">
        <v>26</v>
      </c>
      <c r="D356" s="5">
        <v>29</v>
      </c>
      <c r="E356" s="5">
        <v>32</v>
      </c>
      <c r="F356" s="5">
        <v>35</v>
      </c>
      <c r="G356" s="5">
        <v>37</v>
      </c>
      <c r="H356" s="5">
        <f t="shared" si="74"/>
        <v>31.8</v>
      </c>
      <c r="I356" s="5">
        <f t="shared" si="75"/>
        <v>32</v>
      </c>
      <c r="J356" s="8">
        <f t="shared" si="69"/>
        <v>3.9698866482558417</v>
      </c>
    </row>
    <row r="357" spans="2:10" ht="15" thickBot="1" x14ac:dyDescent="0.4">
      <c r="B357" s="4">
        <v>8</v>
      </c>
      <c r="C357" s="5">
        <v>93</v>
      </c>
      <c r="D357" s="5">
        <v>97</v>
      </c>
      <c r="E357" s="5">
        <v>100</v>
      </c>
      <c r="F357" s="5">
        <v>103</v>
      </c>
      <c r="G357" s="5">
        <v>115</v>
      </c>
      <c r="H357" s="5">
        <f t="shared" si="74"/>
        <v>101.6</v>
      </c>
      <c r="I357" s="5">
        <f t="shared" si="75"/>
        <v>100</v>
      </c>
      <c r="J357" s="8">
        <f t="shared" si="69"/>
        <v>7.4726166769077622</v>
      </c>
    </row>
    <row r="358" spans="2:10" ht="15" thickBot="1" x14ac:dyDescent="0.4">
      <c r="B358" s="4">
        <v>10</v>
      </c>
      <c r="C358" s="5">
        <v>7368</v>
      </c>
      <c r="D358" s="5">
        <v>7386</v>
      </c>
      <c r="E358" s="5">
        <v>7409</v>
      </c>
      <c r="F358" s="5">
        <v>8619</v>
      </c>
      <c r="G358" s="5">
        <v>8716</v>
      </c>
      <c r="H358" s="5">
        <f t="shared" si="74"/>
        <v>7899.6</v>
      </c>
      <c r="I358" s="5">
        <f t="shared" si="75"/>
        <v>7409</v>
      </c>
      <c r="J358" s="8">
        <f t="shared" si="69"/>
        <v>627.87215259159245</v>
      </c>
    </row>
    <row r="359" spans="2:10" ht="15" thickBot="1" x14ac:dyDescent="0.4">
      <c r="B359" s="4">
        <v>11</v>
      </c>
      <c r="C359" s="5">
        <v>9918</v>
      </c>
      <c r="D359" s="5">
        <v>10324</v>
      </c>
      <c r="E359" s="5">
        <v>11439</v>
      </c>
      <c r="F359" s="5">
        <v>11987</v>
      </c>
      <c r="G359" s="5">
        <v>12698</v>
      </c>
      <c r="H359" s="5">
        <f t="shared" si="74"/>
        <v>11273.2</v>
      </c>
      <c r="I359" s="5">
        <f t="shared" si="75"/>
        <v>11439</v>
      </c>
      <c r="J359" s="8">
        <f t="shared" si="69"/>
        <v>1030.0099805341695</v>
      </c>
    </row>
  </sheetData>
  <sortState xmlns:xlrd2="http://schemas.microsoft.com/office/spreadsheetml/2017/richdata2" columnSort="1" ref="C58:G58">
    <sortCondition ref="C58:G58"/>
  </sortState>
  <mergeCells count="35">
    <mergeCell ref="B55:G55"/>
    <mergeCell ref="B5:G5"/>
    <mergeCell ref="B15:G15"/>
    <mergeCell ref="B25:G25"/>
    <mergeCell ref="B35:G35"/>
    <mergeCell ref="B45:G45"/>
    <mergeCell ref="B178:G178"/>
    <mergeCell ref="B65:G65"/>
    <mergeCell ref="B76:G76"/>
    <mergeCell ref="B86:G86"/>
    <mergeCell ref="B96:G96"/>
    <mergeCell ref="B106:G106"/>
    <mergeCell ref="B116:G116"/>
    <mergeCell ref="B126:G126"/>
    <mergeCell ref="B136:G136"/>
    <mergeCell ref="B148:G148"/>
    <mergeCell ref="B158:G158"/>
    <mergeCell ref="B168:G168"/>
    <mergeCell ref="B302:G302"/>
    <mergeCell ref="B188:G188"/>
    <mergeCell ref="B198:G198"/>
    <mergeCell ref="B208:G208"/>
    <mergeCell ref="B220:G220"/>
    <mergeCell ref="B230:G230"/>
    <mergeCell ref="B240:G240"/>
    <mergeCell ref="B250:G250"/>
    <mergeCell ref="B260:G260"/>
    <mergeCell ref="B270:G270"/>
    <mergeCell ref="B280:G280"/>
    <mergeCell ref="B292:G292"/>
    <mergeCell ref="B312:G312"/>
    <mergeCell ref="B322:G322"/>
    <mergeCell ref="B332:G332"/>
    <mergeCell ref="B342:G342"/>
    <mergeCell ref="B352:G35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Ashiq Ali</dc:creator>
  <cp:lastModifiedBy>Ashiq Ali</cp:lastModifiedBy>
  <dcterms:created xsi:type="dcterms:W3CDTF">2020-01-29T20:12:18Z</dcterms:created>
  <dcterms:modified xsi:type="dcterms:W3CDTF">2020-02-16T13:02:10Z</dcterms:modified>
</cp:coreProperties>
</file>