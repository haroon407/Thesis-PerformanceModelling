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86288fdc37c592/Desktop/"/>
    </mc:Choice>
  </mc:AlternateContent>
  <xr:revisionPtr revIDLastSave="60" documentId="8_{78F192A8-0B93-4879-B1CB-AFC112F46B4A}" xr6:coauthVersionLast="45" xr6:coauthVersionMax="45" xr10:uidLastSave="{9A04B6C4-DD9F-4A50-B12C-A7D5D6EACE82}"/>
  <bookViews>
    <workbookView xWindow="-110" yWindow="-110" windowWidth="21820" windowHeight="14020" xr2:uid="{76B2E48C-443F-4561-AB8F-E8D0BC944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7" i="1" l="1"/>
  <c r="I47" i="1"/>
  <c r="H47" i="1"/>
  <c r="I46" i="1"/>
  <c r="H46" i="1"/>
  <c r="J46" i="1" s="1"/>
  <c r="J44" i="1"/>
  <c r="I44" i="1"/>
  <c r="H44" i="1"/>
  <c r="J38" i="1"/>
  <c r="J39" i="1"/>
  <c r="H37" i="1"/>
  <c r="I38" i="1"/>
  <c r="I39" i="1"/>
  <c r="H38" i="1"/>
  <c r="H39" i="1"/>
  <c r="I37" i="1"/>
  <c r="J37" i="1"/>
  <c r="J18" i="1"/>
  <c r="J19" i="1"/>
  <c r="J20" i="1"/>
  <c r="J17" i="1"/>
  <c r="H18" i="1"/>
  <c r="H19" i="1"/>
  <c r="H20" i="1"/>
  <c r="H17" i="1"/>
  <c r="I18" i="1"/>
  <c r="I19" i="1"/>
  <c r="I20" i="1"/>
  <c r="I17" i="1"/>
  <c r="I10" i="1"/>
  <c r="I11" i="1"/>
  <c r="I12" i="1"/>
  <c r="H10" i="1"/>
  <c r="H11" i="1"/>
  <c r="H12" i="1"/>
  <c r="I9" i="1"/>
  <c r="H9" i="1"/>
  <c r="J9" i="1" s="1"/>
  <c r="J10" i="1"/>
  <c r="J11" i="1"/>
  <c r="J12" i="1"/>
</calcChain>
</file>

<file path=xl/sharedStrings.xml><?xml version="1.0" encoding="utf-8"?>
<sst xmlns="http://schemas.openxmlformats.org/spreadsheetml/2006/main" count="38" uniqueCount="22">
  <si>
    <t>Settings:</t>
  </si>
  <si>
    <t>2 organizations, batchTimeout: 2 sec, batchSize: 10, solo orderer, endorser 2, all times in ms</t>
  </si>
  <si>
    <t>Read latency</t>
  </si>
  <si>
    <t>Mean</t>
  </si>
  <si>
    <t>Median</t>
  </si>
  <si>
    <t>Standard deviation</t>
  </si>
  <si>
    <t>Java</t>
  </si>
  <si>
    <t>Go</t>
  </si>
  <si>
    <t>Javascript</t>
  </si>
  <si>
    <t>Typescript</t>
  </si>
  <si>
    <t>Write latency</t>
  </si>
  <si>
    <t>Impact of number of peers:</t>
  </si>
  <si>
    <t>Now testing read write latency on the number of peers:</t>
  </si>
  <si>
    <t>Orgs: 2</t>
  </si>
  <si>
    <t>Peers: 8+2</t>
  </si>
  <si>
    <t>Chaincode: JS</t>
  </si>
  <si>
    <t>batchTimeout: 2s</t>
  </si>
  <si>
    <t>batchSize: 10</t>
  </si>
  <si>
    <t>Endorsements required: 2 AND(Org1&amp;Org2)</t>
  </si>
  <si>
    <t>CouchDB</t>
  </si>
  <si>
    <t>Time in ms</t>
  </si>
  <si>
    <t>Peers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</si>
</sst>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2" fontId="1" fillId="0" borderId="4" xfId="0" applyNumberFormat="1" applyFont="1" applyBorder="1" applyAlignment="1">
      <alignment vertical="center" wrapText="1"/>
    </xf>
    <xf numFmtId="2" fontId="1" fillId="0" borderId="6" xfId="0" applyNumberFormat="1" applyFont="1" applyBorder="1" applyAlignment="1">
      <alignment vertical="center" wrapText="1"/>
    </xf>
    <xf numFmtId="2" fontId="1" fillId="0" borderId="7" xfId="0" applyNumberFormat="1" applyFont="1" applyBorder="1" applyAlignment="1">
      <alignment vertical="center" wrapText="1"/>
    </xf>
    <xf numFmtId="2" fontId="1" fillId="0" borderId="5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C07F-0090-484F-A571-2BA0715D94C6}">
  <dimension ref="B2:J47"/>
  <sheetViews>
    <sheetView tabSelected="1" topLeftCell="A19" workbookViewId="0">
      <selection activeCell="K46" sqref="K46"/>
    </sheetView>
  </sheetViews>
  <sheetFormatPr defaultRowHeight="14.5" x14ac:dyDescent="0.35"/>
  <cols>
    <col min="8" max="8" width="9" bestFit="1" customWidth="1"/>
    <col min="10" max="10" width="12.26953125" bestFit="1" customWidth="1"/>
  </cols>
  <sheetData>
    <row r="2" spans="2:10" x14ac:dyDescent="0.35">
      <c r="B2" s="1" t="s">
        <v>0</v>
      </c>
    </row>
    <row r="3" spans="2:10" x14ac:dyDescent="0.35">
      <c r="B3" s="2"/>
    </row>
    <row r="4" spans="2:10" x14ac:dyDescent="0.35">
      <c r="B4" s="2" t="s">
        <v>1</v>
      </c>
    </row>
    <row r="7" spans="2:10" x14ac:dyDescent="0.35">
      <c r="B7" s="6" t="s">
        <v>2</v>
      </c>
      <c r="C7" s="6"/>
      <c r="D7" s="6"/>
      <c r="E7" s="6"/>
      <c r="F7" s="6"/>
      <c r="G7" s="6"/>
      <c r="H7" s="6"/>
      <c r="I7" s="6"/>
      <c r="J7" s="6"/>
    </row>
    <row r="8" spans="2:10" ht="28" x14ac:dyDescent="0.35">
      <c r="B8" s="7"/>
      <c r="C8" s="7">
        <v>1</v>
      </c>
      <c r="D8" s="7">
        <v>2</v>
      </c>
      <c r="E8" s="7">
        <v>3</v>
      </c>
      <c r="F8" s="7">
        <v>4</v>
      </c>
      <c r="G8" s="7">
        <v>5</v>
      </c>
      <c r="H8" s="7" t="s">
        <v>3</v>
      </c>
      <c r="I8" s="7" t="s">
        <v>4</v>
      </c>
      <c r="J8" s="7" t="s">
        <v>5</v>
      </c>
    </row>
    <row r="9" spans="2:10" x14ac:dyDescent="0.35">
      <c r="B9" s="7" t="s">
        <v>6</v>
      </c>
      <c r="C9" s="7">
        <v>73.144999999999996</v>
      </c>
      <c r="D9" s="7">
        <v>95.655000000000001</v>
      </c>
      <c r="E9" s="7">
        <v>103</v>
      </c>
      <c r="F9" s="7">
        <v>119.499</v>
      </c>
      <c r="G9" s="7">
        <v>155.67699999999999</v>
      </c>
      <c r="H9" s="7">
        <f>(C9+D9+E9+F9+G9)/5</f>
        <v>109.3952</v>
      </c>
      <c r="I9" s="7">
        <f>E9</f>
        <v>103</v>
      </c>
      <c r="J9" s="12">
        <f>(((C9-H9)^2 +(D9-H9)^2 + (E9-H9)^2 + (F9-H9)^2 + (G9-H9)^2)/5)^0.5</f>
        <v>27.524027557027331</v>
      </c>
    </row>
    <row r="10" spans="2:10" x14ac:dyDescent="0.35">
      <c r="B10" s="7" t="s">
        <v>7</v>
      </c>
      <c r="C10" s="7">
        <v>15.034000000000001</v>
      </c>
      <c r="D10" s="7">
        <v>20.387</v>
      </c>
      <c r="E10" s="7">
        <v>23.105</v>
      </c>
      <c r="F10" s="7">
        <v>25.728999999999999</v>
      </c>
      <c r="G10" s="7">
        <v>26.102</v>
      </c>
      <c r="H10" s="7">
        <f t="shared" ref="H10:H12" si="0">(C10+D10+E10+F10+G10)/5</f>
        <v>22.071400000000001</v>
      </c>
      <c r="I10" s="7">
        <f t="shared" ref="I10:I12" si="1">E10</f>
        <v>23.105</v>
      </c>
      <c r="J10" s="12">
        <f t="shared" ref="J10:J12" si="2">(((C10-H10)^2 +(D10-H10)^2 + (E10-H10)^2 + (F10-H10)^2 + (G10-H10)^2)/5)^0.5</f>
        <v>4.0756424082590952</v>
      </c>
    </row>
    <row r="11" spans="2:10" ht="28" x14ac:dyDescent="0.35">
      <c r="B11" s="7" t="s">
        <v>8</v>
      </c>
      <c r="C11" s="7">
        <v>21.564</v>
      </c>
      <c r="D11" s="7">
        <v>24.954000000000001</v>
      </c>
      <c r="E11" s="7">
        <v>25.748000000000001</v>
      </c>
      <c r="F11" s="7">
        <v>26.111999999999998</v>
      </c>
      <c r="G11" s="7">
        <v>27.126000000000001</v>
      </c>
      <c r="H11" s="7">
        <f t="shared" si="0"/>
        <v>25.1008</v>
      </c>
      <c r="I11" s="7">
        <f t="shared" si="1"/>
        <v>25.748000000000001</v>
      </c>
      <c r="J11" s="12">
        <f t="shared" si="2"/>
        <v>1.9012276454964567</v>
      </c>
    </row>
    <row r="12" spans="2:10" ht="28" x14ac:dyDescent="0.35">
      <c r="B12" s="7" t="s">
        <v>9</v>
      </c>
      <c r="C12" s="7">
        <v>22.928999999999998</v>
      </c>
      <c r="D12" s="7">
        <v>25.132999999999999</v>
      </c>
      <c r="E12" s="7">
        <v>28.451000000000001</v>
      </c>
      <c r="F12" s="7">
        <v>29.556999999999999</v>
      </c>
      <c r="G12" s="7">
        <v>30.664999999999999</v>
      </c>
      <c r="H12" s="7">
        <f t="shared" si="0"/>
        <v>27.347000000000001</v>
      </c>
      <c r="I12" s="7">
        <f t="shared" si="1"/>
        <v>28.451000000000001</v>
      </c>
      <c r="J12" s="12">
        <f t="shared" si="2"/>
        <v>2.882102010685951</v>
      </c>
    </row>
    <row r="14" spans="2:10" ht="15" thickBot="1" x14ac:dyDescent="0.4"/>
    <row r="15" spans="2:10" ht="15" thickBot="1" x14ac:dyDescent="0.4">
      <c r="B15" s="3" t="s">
        <v>10</v>
      </c>
      <c r="C15" s="4"/>
      <c r="D15" s="4"/>
      <c r="E15" s="4"/>
      <c r="F15" s="4"/>
      <c r="G15" s="4"/>
      <c r="H15" s="4"/>
      <c r="I15" s="4"/>
      <c r="J15" s="5"/>
    </row>
    <row r="16" spans="2:10" ht="28.5" thickBot="1" x14ac:dyDescent="0.4">
      <c r="B16" s="8"/>
      <c r="C16" s="9">
        <v>1</v>
      </c>
      <c r="D16" s="9">
        <v>2</v>
      </c>
      <c r="E16" s="9">
        <v>3</v>
      </c>
      <c r="F16" s="9">
        <v>4</v>
      </c>
      <c r="G16" s="9">
        <v>5</v>
      </c>
      <c r="H16" s="9" t="s">
        <v>3</v>
      </c>
      <c r="I16" s="9" t="s">
        <v>4</v>
      </c>
      <c r="J16" s="9" t="s">
        <v>5</v>
      </c>
    </row>
    <row r="17" spans="2:10" ht="15" thickBot="1" x14ac:dyDescent="0.4">
      <c r="B17" s="8" t="s">
        <v>6</v>
      </c>
      <c r="C17" s="9">
        <v>4809</v>
      </c>
      <c r="D17" s="9">
        <v>5218</v>
      </c>
      <c r="E17" s="9">
        <v>5679</v>
      </c>
      <c r="F17" s="9">
        <v>5682</v>
      </c>
      <c r="G17" s="9">
        <v>5773</v>
      </c>
      <c r="H17" s="9">
        <f>(C17+D17+E17+F17+G17)/5</f>
        <v>5432.2</v>
      </c>
      <c r="I17" s="9">
        <f>E17</f>
        <v>5679</v>
      </c>
      <c r="J17" s="13">
        <f>(((C17-H17)^2 +(D17-H17)^2 + (E17-H17)^2 + (F17-H17)^2 + (G17-H17)^2)/5)^0.5</f>
        <v>367.07350762483526</v>
      </c>
    </row>
    <row r="18" spans="2:10" ht="15" thickBot="1" x14ac:dyDescent="0.4">
      <c r="B18" s="8" t="s">
        <v>7</v>
      </c>
      <c r="C18" s="9">
        <v>4425</v>
      </c>
      <c r="D18" s="9">
        <v>4774</v>
      </c>
      <c r="E18" s="9">
        <v>5054</v>
      </c>
      <c r="F18" s="9">
        <v>5146</v>
      </c>
      <c r="G18" s="9">
        <v>5189</v>
      </c>
      <c r="H18" s="9">
        <f t="shared" ref="H18:H20" si="3">(C18+D18+E18+F18+G18)/5</f>
        <v>4917.6000000000004</v>
      </c>
      <c r="I18" s="9">
        <f t="shared" ref="I18:I20" si="4">E18</f>
        <v>5054</v>
      </c>
      <c r="J18" s="13">
        <f t="shared" ref="J18:J20" si="5">(((C18-H18)^2 +(D18-H18)^2 + (E18-H18)^2 + (F18-H18)^2 + (G18-H18)^2)/5)^0.5</f>
        <v>285.55391785090251</v>
      </c>
    </row>
    <row r="19" spans="2:10" ht="28.5" thickBot="1" x14ac:dyDescent="0.4">
      <c r="B19" s="8" t="s">
        <v>8</v>
      </c>
      <c r="C19" s="9">
        <v>4554</v>
      </c>
      <c r="D19" s="9">
        <v>4810</v>
      </c>
      <c r="E19" s="9">
        <v>5124</v>
      </c>
      <c r="F19" s="9">
        <v>5180</v>
      </c>
      <c r="G19" s="9">
        <v>5399</v>
      </c>
      <c r="H19" s="9">
        <f t="shared" si="3"/>
        <v>5013.3999999999996</v>
      </c>
      <c r="I19" s="9">
        <f t="shared" si="4"/>
        <v>5124</v>
      </c>
      <c r="J19" s="13">
        <f t="shared" si="5"/>
        <v>297.01690187597069</v>
      </c>
    </row>
    <row r="20" spans="2:10" ht="28.5" thickBot="1" x14ac:dyDescent="0.4">
      <c r="B20" s="8" t="s">
        <v>9</v>
      </c>
      <c r="C20" s="9">
        <v>4635</v>
      </c>
      <c r="D20" s="9">
        <v>5002</v>
      </c>
      <c r="E20" s="9">
        <v>5056</v>
      </c>
      <c r="F20" s="9">
        <v>5168</v>
      </c>
      <c r="G20" s="9">
        <v>5543</v>
      </c>
      <c r="H20" s="9">
        <f t="shared" si="3"/>
        <v>5080.8</v>
      </c>
      <c r="I20" s="9">
        <f t="shared" si="4"/>
        <v>5056</v>
      </c>
      <c r="J20" s="13">
        <f t="shared" si="5"/>
        <v>292.16255749154442</v>
      </c>
    </row>
    <row r="23" spans="2:10" x14ac:dyDescent="0.35">
      <c r="B23" s="1" t="s">
        <v>11</v>
      </c>
    </row>
    <row r="24" spans="2:10" x14ac:dyDescent="0.35">
      <c r="B24" s="1" t="s">
        <v>12</v>
      </c>
    </row>
    <row r="25" spans="2:10" x14ac:dyDescent="0.35">
      <c r="B25" s="1" t="s">
        <v>13</v>
      </c>
    </row>
    <row r="26" spans="2:10" x14ac:dyDescent="0.35">
      <c r="B26" s="1" t="s">
        <v>14</v>
      </c>
    </row>
    <row r="27" spans="2:10" x14ac:dyDescent="0.35">
      <c r="B27" s="1" t="s">
        <v>15</v>
      </c>
    </row>
    <row r="28" spans="2:10" x14ac:dyDescent="0.35">
      <c r="B28" s="1" t="s">
        <v>16</v>
      </c>
    </row>
    <row r="29" spans="2:10" x14ac:dyDescent="0.35">
      <c r="B29" s="1" t="s">
        <v>17</v>
      </c>
    </row>
    <row r="30" spans="2:10" x14ac:dyDescent="0.35">
      <c r="B30" s="1" t="s">
        <v>18</v>
      </c>
    </row>
    <row r="31" spans="2:10" x14ac:dyDescent="0.35">
      <c r="B31" s="1" t="s">
        <v>19</v>
      </c>
    </row>
    <row r="32" spans="2:10" x14ac:dyDescent="0.35">
      <c r="B32" s="1" t="s">
        <v>20</v>
      </c>
    </row>
    <row r="34" spans="2:10" ht="15" thickBot="1" x14ac:dyDescent="0.4"/>
    <row r="35" spans="2:10" ht="15" thickBot="1" x14ac:dyDescent="0.4">
      <c r="B35" s="3" t="s">
        <v>2</v>
      </c>
      <c r="C35" s="4"/>
      <c r="D35" s="4"/>
      <c r="E35" s="4"/>
      <c r="F35" s="4"/>
      <c r="G35" s="4"/>
      <c r="H35" s="4"/>
      <c r="I35" s="4"/>
      <c r="J35" s="5"/>
    </row>
    <row r="36" spans="2:10" ht="28.5" thickBot="1" x14ac:dyDescent="0.4">
      <c r="B36" s="8" t="s">
        <v>21</v>
      </c>
      <c r="C36" s="9">
        <v>1</v>
      </c>
      <c r="D36" s="9">
        <v>2</v>
      </c>
      <c r="E36" s="9">
        <v>3</v>
      </c>
      <c r="F36" s="9">
        <v>4</v>
      </c>
      <c r="G36" s="9">
        <v>5</v>
      </c>
      <c r="H36" s="9" t="s">
        <v>3</v>
      </c>
      <c r="I36" s="9" t="s">
        <v>4</v>
      </c>
      <c r="J36" s="9" t="s">
        <v>5</v>
      </c>
    </row>
    <row r="37" spans="2:10" ht="15" thickBot="1" x14ac:dyDescent="0.4">
      <c r="B37" s="8">
        <v>10</v>
      </c>
      <c r="C37" s="9">
        <v>991</v>
      </c>
      <c r="D37" s="9">
        <v>1177</v>
      </c>
      <c r="E37" s="9">
        <v>2934</v>
      </c>
      <c r="F37" s="9">
        <v>7549</v>
      </c>
      <c r="G37" s="9">
        <v>11712</v>
      </c>
      <c r="H37" s="9">
        <f>(C37+D37+E37+F37+G37)/5</f>
        <v>4872.6000000000004</v>
      </c>
      <c r="I37" s="9">
        <f>E37</f>
        <v>2934</v>
      </c>
      <c r="J37" s="13">
        <f>(((C37-H37)^2 +(D37-H37)^2 + (E37-H37)^2 + (F37-H37)^2 + (G37-H37)^2)/5)^0.5</f>
        <v>4157.4741658848579</v>
      </c>
    </row>
    <row r="38" spans="2:10" ht="15" thickBot="1" x14ac:dyDescent="0.4">
      <c r="B38" s="8">
        <v>8</v>
      </c>
      <c r="C38" s="9">
        <v>107</v>
      </c>
      <c r="D38" s="9">
        <v>761</v>
      </c>
      <c r="E38" s="9">
        <v>1178</v>
      </c>
      <c r="F38" s="9">
        <v>5890</v>
      </c>
      <c r="G38" s="9">
        <v>6985</v>
      </c>
      <c r="H38" s="9">
        <f t="shared" ref="H38:H39" si="6">(C38+D38+E38+F38+G38)/5</f>
        <v>2984.2</v>
      </c>
      <c r="I38" s="9">
        <f t="shared" ref="I38:I39" si="7">E38</f>
        <v>1178</v>
      </c>
      <c r="J38" s="13">
        <f t="shared" ref="J38:J39" si="8">(((C38-H38)^2 +(D38-H38)^2 + (E38-H38)^2 + (F38-H38)^2 + (G38-H38)^2)/5)^0.5</f>
        <v>2861.235075976806</v>
      </c>
    </row>
    <row r="39" spans="2:10" ht="15" thickBot="1" x14ac:dyDescent="0.4">
      <c r="B39" s="8">
        <v>6</v>
      </c>
      <c r="C39" s="9">
        <v>66</v>
      </c>
      <c r="D39" s="9">
        <v>89</v>
      </c>
      <c r="E39" s="9">
        <v>105</v>
      </c>
      <c r="F39" s="9">
        <v>131</v>
      </c>
      <c r="G39" s="9">
        <v>558</v>
      </c>
      <c r="H39" s="9">
        <f t="shared" si="6"/>
        <v>189.8</v>
      </c>
      <c r="I39" s="9">
        <f t="shared" si="7"/>
        <v>105</v>
      </c>
      <c r="J39" s="13">
        <f t="shared" si="8"/>
        <v>185.31421963788964</v>
      </c>
    </row>
    <row r="41" spans="2:10" ht="15" thickBot="1" x14ac:dyDescent="0.4"/>
    <row r="42" spans="2:10" ht="15" thickBot="1" x14ac:dyDescent="0.4">
      <c r="B42" s="3" t="s">
        <v>10</v>
      </c>
      <c r="C42" s="4"/>
      <c r="D42" s="4"/>
      <c r="E42" s="4"/>
      <c r="F42" s="4"/>
      <c r="G42" s="4"/>
      <c r="H42" s="4"/>
      <c r="I42" s="4"/>
      <c r="J42" s="5"/>
    </row>
    <row r="43" spans="2:10" ht="28.5" thickBot="1" x14ac:dyDescent="0.4">
      <c r="B43" s="8" t="s">
        <v>21</v>
      </c>
      <c r="C43" s="9">
        <v>1</v>
      </c>
      <c r="D43" s="9">
        <v>2</v>
      </c>
      <c r="E43" s="9">
        <v>3</v>
      </c>
      <c r="F43" s="9">
        <v>4</v>
      </c>
      <c r="G43" s="9">
        <v>5</v>
      </c>
      <c r="H43" s="9" t="s">
        <v>3</v>
      </c>
      <c r="I43" s="9" t="s">
        <v>4</v>
      </c>
      <c r="J43" s="9" t="s">
        <v>5</v>
      </c>
    </row>
    <row r="44" spans="2:10" x14ac:dyDescent="0.35">
      <c r="B44" s="10">
        <v>10</v>
      </c>
      <c r="C44" s="10">
        <v>188941</v>
      </c>
      <c r="D44" s="10">
        <v>217937</v>
      </c>
      <c r="E44" s="10">
        <v>245971</v>
      </c>
      <c r="F44" s="10">
        <v>271983</v>
      </c>
      <c r="G44" s="10">
        <v>271572</v>
      </c>
      <c r="H44" s="10">
        <f>(C44+D44+E44+F44+G44)/5</f>
        <v>239280.8</v>
      </c>
      <c r="I44" s="10">
        <f>E44</f>
        <v>245971</v>
      </c>
      <c r="J44" s="14">
        <f>(((C44-H44)^2 +(D44-H44)^2 + (E44-H44)^2 + (F44-H44)^2 + (G44-H44)^2)/5)^0.5</f>
        <v>32082.91607943393</v>
      </c>
    </row>
    <row r="45" spans="2:10" ht="15" thickBot="1" x14ac:dyDescent="0.4">
      <c r="B45" s="11"/>
      <c r="C45" s="11"/>
      <c r="D45" s="11"/>
      <c r="E45" s="11"/>
      <c r="F45" s="11"/>
      <c r="G45" s="11"/>
      <c r="H45" s="11"/>
      <c r="I45" s="11"/>
      <c r="J45" s="15"/>
    </row>
    <row r="46" spans="2:10" ht="15" thickBot="1" x14ac:dyDescent="0.4">
      <c r="B46" s="8">
        <v>8</v>
      </c>
      <c r="C46" s="9">
        <v>3052</v>
      </c>
      <c r="D46" s="9">
        <v>3785</v>
      </c>
      <c r="E46" s="9">
        <v>6858</v>
      </c>
      <c r="F46" s="9">
        <v>8134</v>
      </c>
      <c r="G46" s="9">
        <v>158221</v>
      </c>
      <c r="H46" s="9">
        <f>(C46+D46+E46+F46+G46)/5</f>
        <v>36010</v>
      </c>
      <c r="I46" s="9">
        <f>E46</f>
        <v>6858</v>
      </c>
      <c r="J46" s="13">
        <f>(((C46-H46)^2 +(D46-H46)^2 + (E46-H46)^2 + (F46-H46)^2 + (G46-H46)^2)/5)^0.5</f>
        <v>61134.473728003904</v>
      </c>
    </row>
    <row r="47" spans="2:10" ht="15" thickBot="1" x14ac:dyDescent="0.4">
      <c r="B47" s="8">
        <v>6</v>
      </c>
      <c r="C47" s="9">
        <v>2632</v>
      </c>
      <c r="D47" s="9">
        <v>2624</v>
      </c>
      <c r="E47" s="9">
        <v>2643</v>
      </c>
      <c r="F47" s="9">
        <v>2853</v>
      </c>
      <c r="G47" s="9">
        <v>3941</v>
      </c>
      <c r="H47" s="9">
        <f>(C47+D47+E47+F47+G47)/5</f>
        <v>2938.6</v>
      </c>
      <c r="I47" s="9">
        <f>E47</f>
        <v>2643</v>
      </c>
      <c r="J47" s="13">
        <f>(((C47-H47)^2 +(D47-H47)^2 + (E47-H47)^2 + (F47-H47)^2 + (G47-H47)^2)/5)^0.5</f>
        <v>508.42682856041341</v>
      </c>
    </row>
  </sheetData>
  <mergeCells count="13">
    <mergeCell ref="H44:H45"/>
    <mergeCell ref="I44:I45"/>
    <mergeCell ref="J44:J45"/>
    <mergeCell ref="B7:J7"/>
    <mergeCell ref="B15:J15"/>
    <mergeCell ref="B35:J35"/>
    <mergeCell ref="B42:J42"/>
    <mergeCell ref="B44:B45"/>
    <mergeCell ref="C44:C45"/>
    <mergeCell ref="D44:D45"/>
    <mergeCell ref="E44:E45"/>
    <mergeCell ref="F44:F45"/>
    <mergeCell ref="G44:G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 Ali</dc:creator>
  <cp:lastModifiedBy>Ashiq Ali</cp:lastModifiedBy>
  <dcterms:created xsi:type="dcterms:W3CDTF">2020-02-04T01:41:25Z</dcterms:created>
  <dcterms:modified xsi:type="dcterms:W3CDTF">2020-02-04T01:51:11Z</dcterms:modified>
</cp:coreProperties>
</file>