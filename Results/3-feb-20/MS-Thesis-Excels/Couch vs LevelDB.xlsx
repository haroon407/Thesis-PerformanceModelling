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325"/>
  <workbookPr defaultThemeVersion="166925"/>
  <mc:AlternateContent xmlns:mc="http://schemas.openxmlformats.org/markup-compatibility/2006">
    <mc:Choice Requires="x15">
      <x15ac:absPath xmlns:x15ac="http://schemas.microsoft.com/office/spreadsheetml/2010/11/ac" url="C:\Users\Taha Ch\OneDrive\Desktop\"/>
    </mc:Choice>
  </mc:AlternateContent>
  <xr:revisionPtr revIDLastSave="33" documentId="8_{29B35740-2B65-485F-AC0A-FC7C675E7B00}" xr6:coauthVersionLast="45" xr6:coauthVersionMax="45" xr10:uidLastSave="{03FE3BF9-3C62-4765-B0E6-47A9059353FA}"/>
  <bookViews>
    <workbookView xWindow="-110" yWindow="-110" windowWidth="21820" windowHeight="14020" xr2:uid="{AB7EE966-7E27-4617-89F3-78C1507B045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12" i="1" l="1"/>
  <c r="J13" i="1" l="1"/>
  <c r="J14" i="1"/>
  <c r="J15" i="1"/>
  <c r="J16" i="1"/>
  <c r="J17" i="1"/>
  <c r="J18" i="1"/>
  <c r="I13" i="1"/>
  <c r="I14" i="1"/>
  <c r="I15" i="1"/>
  <c r="I16" i="1"/>
  <c r="I17" i="1"/>
  <c r="I18" i="1"/>
  <c r="I12" i="1"/>
  <c r="H13" i="1"/>
  <c r="H14" i="1"/>
  <c r="H15" i="1"/>
  <c r="H16" i="1"/>
  <c r="H17" i="1"/>
  <c r="H18" i="1"/>
  <c r="H12" i="1"/>
  <c r="J31" i="1"/>
  <c r="J32" i="1"/>
  <c r="J33" i="1"/>
  <c r="J34" i="1"/>
  <c r="J35" i="1"/>
  <c r="J36" i="1"/>
  <c r="J37" i="1"/>
  <c r="H32" i="1" l="1"/>
  <c r="H33" i="1"/>
  <c r="H34" i="1"/>
  <c r="H35" i="1"/>
  <c r="H36" i="1"/>
  <c r="H37" i="1"/>
  <c r="H31" i="1"/>
  <c r="I32" i="1"/>
  <c r="I33" i="1"/>
  <c r="I34" i="1"/>
  <c r="I35" i="1"/>
  <c r="I36" i="1"/>
  <c r="I37" i="1"/>
  <c r="I31" i="1"/>
</calcChain>
</file>

<file path=xl/sharedStrings.xml><?xml version="1.0" encoding="utf-8"?>
<sst xmlns="http://schemas.openxmlformats.org/spreadsheetml/2006/main" count="27" uniqueCount="15">
  <si>
    <t>Settings: 2 orgs, Chaincode JS, Solo, couchdb</t>
  </si>
  <si>
    <t>Note: Update includes execution time only, no endorsement, update and delete are contract.submitTransaction() while query are contract.evaluateTransaction()</t>
  </si>
  <si>
    <t>CouchDB:</t>
  </si>
  <si>
    <t>Mean</t>
  </si>
  <si>
    <t>Median</t>
  </si>
  <si>
    <t>Std. Dev.</t>
  </si>
  <si>
    <t>Get Key</t>
  </si>
  <si>
    <t>Query(2 column)</t>
  </si>
  <si>
    <t>Query(3 column)</t>
  </si>
  <si>
    <t>Update</t>
  </si>
  <si>
    <t>Update(2 column)</t>
  </si>
  <si>
    <t>Update(3 column)</t>
  </si>
  <si>
    <t>Delete</t>
  </si>
  <si>
    <t>LevelDB:</t>
  </si>
  <si>
    <t>Since LevelDB doesn’t support queries, therefore it is suggested to create inverted indexes which would take away the liberty to query an object based on any field, or in that case we might need to create multiple inverted indexes against each individual field and that doesn’t appear to be a good practice and requires a lot of overhead, therefore I’ll be fetching the results using getStateByRange() and then programmatically iterating through the iterator until the required object is found and then return it as response to the client.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</si>
</sst>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Arial"/>
      <family val="2"/>
    </font>
  </fonts>
  <fills count="2">
    <fill>
      <patternFill patternType="none"/>
    </fill>
    <fill>
      <patternFill patternType="gray125"/>
    </fill>
  </fills>
  <borders count="6">
    <border>
      <left/>
      <right/>
      <top/>
      <bottom/>
      <diagonal/>
    </border>
    <border>
      <left style="medium">
        <color rgb="FF000000"/>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s>
  <cellStyleXfs count="1">
    <xf numFmtId="0" fontId="0" fillId="0" borderId="0"/>
  </cellStyleXfs>
  <cellXfs count="10">
    <xf numFmtId="0" fontId="0" fillId="0" borderId="0" xfId="0"/>
    <xf numFmtId="0" fontId="1" fillId="0" borderId="0" xfId="0" applyFont="1" applyAlignment="1">
      <alignment vertical="center"/>
    </xf>
    <xf numFmtId="0" fontId="1" fillId="0" borderId="0" xfId="0" applyFont="1"/>
    <xf numFmtId="0" fontId="1" fillId="0" borderId="1" xfId="0" applyFont="1" applyBorder="1" applyAlignment="1">
      <alignment vertical="center" wrapText="1"/>
    </xf>
    <xf numFmtId="0" fontId="1" fillId="0" borderId="2" xfId="0" applyFont="1" applyBorder="1" applyAlignment="1">
      <alignment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1" fillId="0" borderId="5" xfId="0" applyFont="1" applyBorder="1" applyAlignment="1">
      <alignment vertical="center" wrapText="1"/>
    </xf>
    <xf numFmtId="2" fontId="1" fillId="0" borderId="5" xfId="0" applyNumberFormat="1" applyFont="1" applyBorder="1" applyAlignment="1">
      <alignment vertical="center" wrapText="1"/>
    </xf>
    <xf numFmtId="2" fontId="1" fillId="0" borderId="2" xfId="0" applyNumberFormat="1"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ED96E-ED7C-4845-A24A-53E7876E178E}">
  <dimension ref="B3:J37"/>
  <sheetViews>
    <sheetView tabSelected="1" topLeftCell="A9" workbookViewId="0">
      <selection activeCell="J13" sqref="J13"/>
    </sheetView>
  </sheetViews>
  <sheetFormatPr defaultRowHeight="14.5" x14ac:dyDescent="0.35"/>
  <cols>
    <col min="10" max="10" width="12.26953125" bestFit="1" customWidth="1"/>
  </cols>
  <sheetData>
    <row r="3" spans="2:10" x14ac:dyDescent="0.35">
      <c r="B3" s="1" t="s">
        <v>2</v>
      </c>
    </row>
    <row r="6" spans="2:10" x14ac:dyDescent="0.35">
      <c r="B6" s="1" t="s">
        <v>0</v>
      </c>
    </row>
    <row r="7" spans="2:10" x14ac:dyDescent="0.35">
      <c r="B7" s="2" t="s">
        <v>1</v>
      </c>
    </row>
    <row r="11" spans="2:10" ht="28" x14ac:dyDescent="0.35">
      <c r="B11" s="4"/>
      <c r="C11" s="4">
        <v>1</v>
      </c>
      <c r="D11" s="4">
        <v>2</v>
      </c>
      <c r="E11" s="4">
        <v>3</v>
      </c>
      <c r="F11" s="4">
        <v>4</v>
      </c>
      <c r="G11" s="4">
        <v>5</v>
      </c>
      <c r="H11" s="4" t="s">
        <v>3</v>
      </c>
      <c r="I11" s="4" t="s">
        <v>4</v>
      </c>
      <c r="J11" s="4" t="s">
        <v>5</v>
      </c>
    </row>
    <row r="12" spans="2:10" x14ac:dyDescent="0.35">
      <c r="B12" s="4" t="s">
        <v>6</v>
      </c>
      <c r="C12" s="4">
        <v>18</v>
      </c>
      <c r="D12" s="4">
        <v>24</v>
      </c>
      <c r="E12" s="4">
        <v>31</v>
      </c>
      <c r="F12" s="4">
        <v>34</v>
      </c>
      <c r="G12" s="4">
        <v>35</v>
      </c>
      <c r="H12" s="4">
        <f>(C12+D12+E12+F12+G12)/5</f>
        <v>28.4</v>
      </c>
      <c r="I12" s="4">
        <f>E12</f>
        <v>31</v>
      </c>
      <c r="J12" s="9">
        <f>(((C12-H12)^2 +(D12-H12)^2 + (E12-H12)^2 + (F12-H12)^2 + (G12-H12)^2)/5)^0.5</f>
        <v>6.4683846515184911</v>
      </c>
    </row>
    <row r="13" spans="2:10" ht="28" x14ac:dyDescent="0.35">
      <c r="B13" s="4" t="s">
        <v>7</v>
      </c>
      <c r="C13" s="4">
        <v>36</v>
      </c>
      <c r="D13" s="4">
        <v>40</v>
      </c>
      <c r="E13" s="4">
        <v>44</v>
      </c>
      <c r="F13" s="4">
        <v>46</v>
      </c>
      <c r="G13" s="4">
        <v>61</v>
      </c>
      <c r="H13" s="4">
        <f t="shared" ref="H13:H18" si="0">(C13+D13+E13+F13+G13)/5</f>
        <v>45.4</v>
      </c>
      <c r="I13" s="4">
        <f t="shared" ref="I13:I18" si="1">E13</f>
        <v>44</v>
      </c>
      <c r="J13" s="9">
        <f t="shared" ref="J13:J18" si="2">(((C13-H13)^2 +(D13-H13)^2 + (E13-H13)^2 + (F13-H13)^2 + (G13-H13)^2)/5)^0.5</f>
        <v>8.5229103010650071</v>
      </c>
    </row>
    <row r="14" spans="2:10" ht="28" x14ac:dyDescent="0.35">
      <c r="B14" s="4" t="s">
        <v>8</v>
      </c>
      <c r="C14" s="4">
        <v>40</v>
      </c>
      <c r="D14" s="4">
        <v>49</v>
      </c>
      <c r="E14" s="4">
        <v>60</v>
      </c>
      <c r="F14" s="4">
        <v>65</v>
      </c>
      <c r="G14" s="4">
        <v>68</v>
      </c>
      <c r="H14" s="4">
        <f t="shared" si="0"/>
        <v>56.4</v>
      </c>
      <c r="I14" s="4">
        <f t="shared" si="1"/>
        <v>60</v>
      </c>
      <c r="J14" s="9">
        <f t="shared" si="2"/>
        <v>10.44222198576529</v>
      </c>
    </row>
    <row r="15" spans="2:10" x14ac:dyDescent="0.35">
      <c r="B15" s="4" t="s">
        <v>9</v>
      </c>
      <c r="C15" s="4">
        <v>33</v>
      </c>
      <c r="D15" s="4">
        <v>41</v>
      </c>
      <c r="E15" s="4">
        <v>46</v>
      </c>
      <c r="F15" s="4">
        <v>53</v>
      </c>
      <c r="G15" s="4">
        <v>56</v>
      </c>
      <c r="H15" s="4">
        <f t="shared" si="0"/>
        <v>45.8</v>
      </c>
      <c r="I15" s="4">
        <f t="shared" si="1"/>
        <v>46</v>
      </c>
      <c r="J15" s="9">
        <f t="shared" si="2"/>
        <v>8.2800966177937791</v>
      </c>
    </row>
    <row r="16" spans="2:10" ht="42" x14ac:dyDescent="0.35">
      <c r="B16" s="4" t="s">
        <v>10</v>
      </c>
      <c r="C16" s="4">
        <v>57</v>
      </c>
      <c r="D16" s="4">
        <v>63</v>
      </c>
      <c r="E16" s="4">
        <v>69</v>
      </c>
      <c r="F16" s="4">
        <v>74</v>
      </c>
      <c r="G16" s="4">
        <v>86</v>
      </c>
      <c r="H16" s="4">
        <f t="shared" si="0"/>
        <v>69.8</v>
      </c>
      <c r="I16" s="4">
        <f t="shared" si="1"/>
        <v>69</v>
      </c>
      <c r="J16" s="9">
        <f t="shared" si="2"/>
        <v>9.9075728612006682</v>
      </c>
    </row>
    <row r="17" spans="2:10" ht="42" x14ac:dyDescent="0.35">
      <c r="B17" s="4" t="s">
        <v>11</v>
      </c>
      <c r="C17" s="4">
        <v>67</v>
      </c>
      <c r="D17" s="4">
        <v>71</v>
      </c>
      <c r="E17" s="4">
        <v>78</v>
      </c>
      <c r="F17" s="4">
        <v>91</v>
      </c>
      <c r="G17" s="4">
        <v>94</v>
      </c>
      <c r="H17" s="4">
        <f t="shared" si="0"/>
        <v>80.2</v>
      </c>
      <c r="I17" s="4">
        <f t="shared" si="1"/>
        <v>78</v>
      </c>
      <c r="J17" s="9">
        <f t="shared" si="2"/>
        <v>10.684568311354464</v>
      </c>
    </row>
    <row r="18" spans="2:10" x14ac:dyDescent="0.35">
      <c r="B18" s="4" t="s">
        <v>12</v>
      </c>
      <c r="C18" s="4">
        <v>27</v>
      </c>
      <c r="D18" s="4">
        <v>28</v>
      </c>
      <c r="E18" s="4">
        <v>33</v>
      </c>
      <c r="F18" s="4">
        <v>36</v>
      </c>
      <c r="G18" s="4">
        <v>45</v>
      </c>
      <c r="H18" s="4">
        <f t="shared" si="0"/>
        <v>33.799999999999997</v>
      </c>
      <c r="I18" s="4">
        <f t="shared" si="1"/>
        <v>33</v>
      </c>
      <c r="J18" s="9">
        <f t="shared" si="2"/>
        <v>6.4930732322991709</v>
      </c>
    </row>
    <row r="22" spans="2:10" x14ac:dyDescent="0.35">
      <c r="B22" s="1" t="s">
        <v>13</v>
      </c>
    </row>
    <row r="24" spans="2:10" x14ac:dyDescent="0.35">
      <c r="B24" s="1" t="s">
        <v>0</v>
      </c>
    </row>
    <row r="25" spans="2:10" x14ac:dyDescent="0.35">
      <c r="B25" s="1" t="s">
        <v>1</v>
      </c>
    </row>
    <row r="26" spans="2:10" x14ac:dyDescent="0.35">
      <c r="B26" s="1" t="s">
        <v>14</v>
      </c>
    </row>
    <row r="29" spans="2:10" ht="15" thickBot="1" x14ac:dyDescent="0.4"/>
    <row r="30" spans="2:10" ht="28.5" thickBot="1" x14ac:dyDescent="0.4">
      <c r="B30" s="5"/>
      <c r="C30" s="6">
        <v>1</v>
      </c>
      <c r="D30" s="6">
        <v>2</v>
      </c>
      <c r="E30" s="6">
        <v>3</v>
      </c>
      <c r="F30" s="6">
        <v>4</v>
      </c>
      <c r="G30" s="6">
        <v>5</v>
      </c>
      <c r="H30" s="6" t="s">
        <v>3</v>
      </c>
      <c r="I30" s="6" t="s">
        <v>4</v>
      </c>
      <c r="J30" s="6" t="s">
        <v>5</v>
      </c>
    </row>
    <row r="31" spans="2:10" ht="15" thickBot="1" x14ac:dyDescent="0.4">
      <c r="B31" s="3" t="s">
        <v>6</v>
      </c>
      <c r="C31" s="7">
        <v>12</v>
      </c>
      <c r="D31" s="7">
        <v>13</v>
      </c>
      <c r="E31" s="7">
        <v>15</v>
      </c>
      <c r="F31" s="7">
        <v>17</v>
      </c>
      <c r="G31" s="7">
        <v>19</v>
      </c>
      <c r="H31" s="7">
        <f>(C31+D31+E31+F31+G31)/5</f>
        <v>15.2</v>
      </c>
      <c r="I31" s="7">
        <f>E31</f>
        <v>15</v>
      </c>
      <c r="J31" s="8">
        <f>(((C31-H31)^2 +(D31-H31)^2 + (E31-H31)^2 + (F31-H31)^2 + (G31-H31)^2)/5)^0.5</f>
        <v>2.5612496949731396</v>
      </c>
    </row>
    <row r="32" spans="2:10" ht="28.5" thickBot="1" x14ac:dyDescent="0.4">
      <c r="B32" s="3" t="s">
        <v>7</v>
      </c>
      <c r="C32" s="7">
        <v>11</v>
      </c>
      <c r="D32" s="7">
        <v>15</v>
      </c>
      <c r="E32" s="7">
        <v>17</v>
      </c>
      <c r="F32" s="7">
        <v>19</v>
      </c>
      <c r="G32" s="7">
        <v>23</v>
      </c>
      <c r="H32" s="7">
        <f t="shared" ref="H32:H37" si="3">(C32+D32+E32+F32+G32)/5</f>
        <v>17</v>
      </c>
      <c r="I32" s="7">
        <f t="shared" ref="I32:I37" si="4">E32</f>
        <v>17</v>
      </c>
      <c r="J32" s="8">
        <f t="shared" ref="J32:J37" si="5">(((C32-H32)^2 +(D32-H32)^2 + (E32-H32)^2 + (F32-H32)^2 + (G32-H32)^2)/5)^0.5</f>
        <v>4</v>
      </c>
    </row>
    <row r="33" spans="2:10" ht="28.5" thickBot="1" x14ac:dyDescent="0.4">
      <c r="B33" s="3" t="s">
        <v>8</v>
      </c>
      <c r="C33" s="7">
        <v>14</v>
      </c>
      <c r="D33" s="7">
        <v>18</v>
      </c>
      <c r="E33" s="7">
        <v>22</v>
      </c>
      <c r="F33" s="7">
        <v>23</v>
      </c>
      <c r="G33" s="7">
        <v>33</v>
      </c>
      <c r="H33" s="7">
        <f t="shared" si="3"/>
        <v>22</v>
      </c>
      <c r="I33" s="7">
        <f t="shared" si="4"/>
        <v>22</v>
      </c>
      <c r="J33" s="8">
        <f t="shared" si="5"/>
        <v>6.3560994328282812</v>
      </c>
    </row>
    <row r="34" spans="2:10" ht="15" thickBot="1" x14ac:dyDescent="0.4">
      <c r="B34" s="3" t="s">
        <v>9</v>
      </c>
      <c r="C34" s="7">
        <v>28</v>
      </c>
      <c r="D34" s="7">
        <v>33</v>
      </c>
      <c r="E34" s="7">
        <v>43</v>
      </c>
      <c r="F34" s="7">
        <v>61</v>
      </c>
      <c r="G34" s="7">
        <v>71</v>
      </c>
      <c r="H34" s="7">
        <f t="shared" si="3"/>
        <v>47.2</v>
      </c>
      <c r="I34" s="7">
        <f t="shared" si="4"/>
        <v>43</v>
      </c>
      <c r="J34" s="8">
        <f t="shared" si="5"/>
        <v>16.399999999999999</v>
      </c>
    </row>
    <row r="35" spans="2:10" ht="42.5" thickBot="1" x14ac:dyDescent="0.4">
      <c r="B35" s="3" t="s">
        <v>10</v>
      </c>
      <c r="C35" s="7">
        <v>29</v>
      </c>
      <c r="D35" s="7">
        <v>40</v>
      </c>
      <c r="E35" s="7">
        <v>49</v>
      </c>
      <c r="F35" s="7">
        <v>57</v>
      </c>
      <c r="G35" s="7">
        <v>78</v>
      </c>
      <c r="H35" s="7">
        <f t="shared" si="3"/>
        <v>50.6</v>
      </c>
      <c r="I35" s="7">
        <f t="shared" si="4"/>
        <v>49</v>
      </c>
      <c r="J35" s="8">
        <f t="shared" si="5"/>
        <v>16.572265988693278</v>
      </c>
    </row>
    <row r="36" spans="2:10" ht="42.5" thickBot="1" x14ac:dyDescent="0.4">
      <c r="B36" s="3" t="s">
        <v>11</v>
      </c>
      <c r="C36" s="7">
        <v>37</v>
      </c>
      <c r="D36" s="7">
        <v>46</v>
      </c>
      <c r="E36" s="7">
        <v>54</v>
      </c>
      <c r="F36" s="7">
        <v>62</v>
      </c>
      <c r="G36" s="7">
        <v>81</v>
      </c>
      <c r="H36" s="7">
        <f t="shared" si="3"/>
        <v>56</v>
      </c>
      <c r="I36" s="7">
        <f t="shared" si="4"/>
        <v>54</v>
      </c>
      <c r="J36" s="8">
        <f t="shared" si="5"/>
        <v>15.006665185843255</v>
      </c>
    </row>
    <row r="37" spans="2:10" ht="15" thickBot="1" x14ac:dyDescent="0.4">
      <c r="B37" s="3" t="s">
        <v>12</v>
      </c>
      <c r="C37" s="7">
        <v>24</v>
      </c>
      <c r="D37" s="7">
        <v>27</v>
      </c>
      <c r="E37" s="7">
        <v>31</v>
      </c>
      <c r="F37" s="7">
        <v>26</v>
      </c>
      <c r="G37" s="7">
        <v>68</v>
      </c>
      <c r="H37" s="7">
        <f t="shared" si="3"/>
        <v>35.200000000000003</v>
      </c>
      <c r="I37" s="7">
        <f t="shared" si="4"/>
        <v>31</v>
      </c>
      <c r="J37" s="8">
        <f t="shared" si="5"/>
        <v>16.557777628655362</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Ashiq Ali</dc:creator>
  <cp:lastModifiedBy>Ashiq Ali</cp:lastModifiedBy>
  <dcterms:created xsi:type="dcterms:W3CDTF">2020-02-04T00:53:05Z</dcterms:created>
  <dcterms:modified xsi:type="dcterms:W3CDTF">2020-02-04T01:08:18Z</dcterms:modified>
</cp:coreProperties>
</file>